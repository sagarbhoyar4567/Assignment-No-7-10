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Science &amp; Analysis Projects\Data Science &amp; analysis\Cohert 138\Assignments\Assignment No 7\"/>
    </mc:Choice>
  </mc:AlternateContent>
  <xr:revisionPtr revIDLastSave="0" documentId="13_ncr:1_{33EBF77C-EB0B-4AE6-B25E-65A944EEB53E}" xr6:coauthVersionLast="47" xr6:coauthVersionMax="47" xr10:uidLastSave="{00000000-0000-0000-0000-000000000000}"/>
  <bookViews>
    <workbookView xWindow="-120" yWindow="-120" windowWidth="20730" windowHeight="11160" activeTab="2" xr2:uid="{3908DEE9-8AE0-4EC8-9B40-BFE65D730745}"/>
  </bookViews>
  <sheets>
    <sheet name="Assignment_Data7 to 10" sheetId="1" r:id="rId1"/>
    <sheet name="Statistics" sheetId="3" r:id="rId2"/>
    <sheet name="Excel - Pivot" sheetId="8" r:id="rId3"/>
  </sheets>
  <definedNames>
    <definedName name="_xlnm._FilterDatabase" localSheetId="0" hidden="1">'Assignment_Data7 to 10'!$I$1:$J$101</definedName>
    <definedName name="_xlnm._FilterDatabase" localSheetId="1" hidden="1">Statistics!$B$114:$C$214</definedName>
    <definedName name="_xlchart.v1.0" hidden="1">'Assignment_Data7 to 10'!$E$2:$E$101</definedName>
  </definedNames>
  <calcPr calcId="191029"/>
  <pivotCaches>
    <pivotCache cacheId="37" r:id="rId4"/>
    <pivotCache cacheId="4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6" i="3" l="1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115" i="3"/>
  <c r="C110" i="3"/>
  <c r="C109" i="3"/>
  <c r="C104" i="3"/>
  <c r="E99" i="3"/>
  <c r="D99" i="3"/>
  <c r="C99" i="3"/>
  <c r="D92" i="3"/>
  <c r="C92" i="3"/>
  <c r="E92" i="3" s="1"/>
  <c r="D91" i="3"/>
  <c r="C91" i="3"/>
  <c r="E91" i="3" s="1"/>
  <c r="C76" i="3"/>
  <c r="C69" i="3"/>
  <c r="C68" i="3"/>
  <c r="C61" i="3"/>
  <c r="C60" i="3"/>
  <c r="E61" i="3" s="1"/>
  <c r="C35" i="3"/>
  <c r="D35" i="3"/>
  <c r="E35" i="3"/>
  <c r="F35" i="3"/>
  <c r="B35" i="3"/>
  <c r="C34" i="3"/>
  <c r="D34" i="3"/>
  <c r="E34" i="3"/>
  <c r="F34" i="3"/>
  <c r="B34" i="3"/>
  <c r="C33" i="3"/>
  <c r="D33" i="3"/>
  <c r="E33" i="3"/>
  <c r="F33" i="3"/>
  <c r="B33" i="3"/>
  <c r="C32" i="3"/>
  <c r="D32" i="3"/>
  <c r="E32" i="3"/>
  <c r="F32" i="3"/>
  <c r="B32" i="3"/>
  <c r="C31" i="3"/>
  <c r="D31" i="3"/>
  <c r="E31" i="3"/>
  <c r="F31" i="3"/>
  <c r="B31" i="3"/>
  <c r="C30" i="3"/>
  <c r="D30" i="3"/>
  <c r="E30" i="3"/>
  <c r="F30" i="3"/>
  <c r="B30" i="3"/>
  <c r="D29" i="3"/>
  <c r="E29" i="3"/>
  <c r="F29" i="3"/>
  <c r="C29" i="3"/>
  <c r="B29" i="3"/>
  <c r="F28" i="3"/>
  <c r="E28" i="3"/>
  <c r="D28" i="3"/>
  <c r="C28" i="3"/>
  <c r="B28" i="3"/>
  <c r="C22" i="3"/>
  <c r="C17" i="3"/>
  <c r="C16" i="3"/>
  <c r="C11" i="3"/>
  <c r="C10" i="3"/>
  <c r="C71" i="3" l="1"/>
  <c r="F61" i="3"/>
  <c r="C6" i="3" l="1"/>
  <c r="C5" i="3"/>
  <c r="C4" i="3"/>
</calcChain>
</file>

<file path=xl/sharedStrings.xml><?xml version="1.0" encoding="utf-8"?>
<sst xmlns="http://schemas.openxmlformats.org/spreadsheetml/2006/main" count="121" uniqueCount="89">
  <si>
    <t>Age</t>
  </si>
  <si>
    <t>Salary</t>
  </si>
  <si>
    <t>Purchase_Count</t>
  </si>
  <si>
    <t>Satisfaction_Score</t>
  </si>
  <si>
    <t>Visit_Frequency</t>
  </si>
  <si>
    <t>Data</t>
  </si>
  <si>
    <t>Que 1</t>
  </si>
  <si>
    <t>Calculate the mean, median, and mode of 'Age'.</t>
  </si>
  <si>
    <t>Solution</t>
  </si>
  <si>
    <t>Mean</t>
  </si>
  <si>
    <t>Median</t>
  </si>
  <si>
    <t>Mode</t>
  </si>
  <si>
    <t>Standard Deviation</t>
  </si>
  <si>
    <t>Kurtosis</t>
  </si>
  <si>
    <t>Skewness</t>
  </si>
  <si>
    <t>Range</t>
  </si>
  <si>
    <t>Count</t>
  </si>
  <si>
    <t>Que 2</t>
  </si>
  <si>
    <t>Find the standard deviation and variance of 'Salary'.</t>
  </si>
  <si>
    <t>Variance</t>
  </si>
  <si>
    <t>Que 3</t>
  </si>
  <si>
    <t>Compute the skewness and kurtosis of 'Purchase_Count'.</t>
  </si>
  <si>
    <t>Que 4</t>
  </si>
  <si>
    <t>What is the correlation between 'Salary' and 'Satisfaction_Score'?</t>
  </si>
  <si>
    <t>Corellation</t>
  </si>
  <si>
    <t>Que 5</t>
  </si>
  <si>
    <t xml:space="preserve">Get the summary statistics (count, mean, std, min, 25%, 50%, 75%, max) for every column. </t>
  </si>
  <si>
    <t>Std</t>
  </si>
  <si>
    <t>min</t>
  </si>
  <si>
    <t>Max</t>
  </si>
  <si>
    <t>Que 6</t>
  </si>
  <si>
    <t>Plot the histogram of 'Visit_Frequency' and comment on its skewness.</t>
  </si>
  <si>
    <t>Skeness</t>
  </si>
  <si>
    <t>Looks like right skewed- positively skewed</t>
  </si>
  <si>
    <t>Identify if 'Satisfaction_Score' has any outliers using standard deviation method.</t>
  </si>
  <si>
    <t>Que 7</t>
  </si>
  <si>
    <t>if std &lt;= 1/3rd of the mean - means data is quite consistent - if std&gt;1/3rd of the mean - means data is dispersed chances of having the outlieres</t>
  </si>
  <si>
    <t>Std &gt; mean/3</t>
  </si>
  <si>
    <t>Value</t>
  </si>
  <si>
    <t>Que 8</t>
  </si>
  <si>
    <t>Calculate the coefficient of variation for 'Salary'.</t>
  </si>
  <si>
    <t>std</t>
  </si>
  <si>
    <t>mean</t>
  </si>
  <si>
    <t>CV</t>
  </si>
  <si>
    <t>Que 9</t>
  </si>
  <si>
    <t>Find the interquartile range (IQR) for 'Purchase_Count'.</t>
  </si>
  <si>
    <t>IQR</t>
  </si>
  <si>
    <t>Que 10</t>
  </si>
  <si>
    <t>Compute the Pearson correlation matrix for the entire dataset.</t>
  </si>
  <si>
    <t>Que 11</t>
  </si>
  <si>
    <t>Calculate the range (max - min) for the 'Age' and 'Salary' columns.</t>
  </si>
  <si>
    <t>Min</t>
  </si>
  <si>
    <t>Que 12</t>
  </si>
  <si>
    <t>Determine the percentile ranks for 'Purchase_Count' at 25%, 50%, and 75%.</t>
  </si>
  <si>
    <t>Purchase Count</t>
  </si>
  <si>
    <t>Que 13</t>
  </si>
  <si>
    <t>Find the covariance between 'Salary' and 'Visit_Frequency'.</t>
  </si>
  <si>
    <t>Covariance</t>
  </si>
  <si>
    <t>Que 14</t>
  </si>
  <si>
    <t>Check if 'Salary' follows a normal distribution using skewness and kurtosis values.</t>
  </si>
  <si>
    <t>skew</t>
  </si>
  <si>
    <t>Que 15</t>
  </si>
  <si>
    <t>kurt</t>
  </si>
  <si>
    <t>Calculate the z-scores for 'Satisfaction_Score' and identify any data points beyond ±3.</t>
  </si>
  <si>
    <t>Average of Salary</t>
  </si>
  <si>
    <t>Grand Total</t>
  </si>
  <si>
    <t>Que1</t>
  </si>
  <si>
    <t>Sum of Purchase_Count</t>
  </si>
  <si>
    <t>Count of Visit_Frequency</t>
  </si>
  <si>
    <t>18-26</t>
  </si>
  <si>
    <t>27-35</t>
  </si>
  <si>
    <t>36-44</t>
  </si>
  <si>
    <t>45-53</t>
  </si>
  <si>
    <t>54-62</t>
  </si>
  <si>
    <t>63-71</t>
  </si>
  <si>
    <t>Min of Salary</t>
  </si>
  <si>
    <t>Max of Salary</t>
  </si>
  <si>
    <t>27693-52692</t>
  </si>
  <si>
    <t>52693-77692</t>
  </si>
  <si>
    <t>77693-102692</t>
  </si>
  <si>
    <t>102693-127692</t>
  </si>
  <si>
    <t>127693-152692</t>
  </si>
  <si>
    <t>152693-177692</t>
  </si>
  <si>
    <t>177693-202692</t>
  </si>
  <si>
    <t>Salary Range</t>
  </si>
  <si>
    <t>Total of Purchase_Count</t>
  </si>
  <si>
    <t>Age Range</t>
  </si>
  <si>
    <t>Visit Frequency</t>
  </si>
  <si>
    <t>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</si>
</sst>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33" borderId="10" xfId="0" applyFill="1" applyBorder="1"/>
    <xf numFmtId="0" fontId="0" fillId="0" borderId="10" xfId="0" applyBorder="1"/>
    <xf numFmtId="0" fontId="16" fillId="33" borderId="10" xfId="0" applyFont="1" applyFill="1" applyBorder="1"/>
    <xf numFmtId="0" fontId="16" fillId="33" borderId="10" xfId="0" applyFont="1" applyFill="1" applyBorder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16" fillId="0" borderId="10" xfId="0" applyFont="1" applyBorder="1"/>
    <xf numFmtId="9" fontId="16" fillId="33" borderId="10" xfId="0" applyNumberFormat="1" applyFont="1" applyFill="1" applyBorder="1" applyAlignment="1">
      <alignment horizontal="left"/>
    </xf>
    <xf numFmtId="0" fontId="16" fillId="0" borderId="0" xfId="0" applyFont="1" applyAlignment="1">
      <alignment vertical="top"/>
    </xf>
    <xf numFmtId="0" fontId="16" fillId="0" borderId="10" xfId="0" applyFont="1" applyBorder="1" applyAlignment="1">
      <alignment horizontal="right"/>
    </xf>
    <xf numFmtId="0" fontId="16" fillId="33" borderId="10" xfId="0" quotePrefix="1" applyFont="1" applyFill="1" applyBorder="1"/>
    <xf numFmtId="0" fontId="0" fillId="0" borderId="10" xfId="0" quotePrefix="1" applyBorder="1"/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33" borderId="12" xfId="0" applyFill="1" applyBorder="1"/>
    <xf numFmtId="0" fontId="0" fillId="0" borderId="13" xfId="0" applyBorder="1"/>
    <xf numFmtId="0" fontId="0" fillId="33" borderId="14" xfId="0" applyFill="1" applyBorder="1"/>
    <xf numFmtId="0" fontId="0" fillId="0" borderId="15" xfId="0" applyBorder="1"/>
    <xf numFmtId="0" fontId="0" fillId="33" borderId="16" xfId="0" applyFill="1" applyBorder="1"/>
    <xf numFmtId="10" fontId="0" fillId="0" borderId="17" xfId="42" applyNumberFormat="1" applyFont="1" applyBorder="1"/>
    <xf numFmtId="0" fontId="0" fillId="33" borderId="18" xfId="0" applyFill="1" applyBorder="1"/>
    <xf numFmtId="0" fontId="0" fillId="0" borderId="19" xfId="0" applyBorder="1"/>
    <xf numFmtId="0" fontId="0" fillId="0" borderId="12" xfId="0" applyBorder="1"/>
    <xf numFmtId="0" fontId="0" fillId="33" borderId="20" xfId="0" applyFill="1" applyBorder="1"/>
    <xf numFmtId="0" fontId="0" fillId="33" borderId="13" xfId="0" applyFill="1" applyBorder="1"/>
    <xf numFmtId="0" fontId="0" fillId="33" borderId="21" xfId="0" applyFill="1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9" fontId="0" fillId="33" borderId="20" xfId="0" applyNumberFormat="1" applyFill="1" applyBorder="1"/>
    <xf numFmtId="9" fontId="0" fillId="33" borderId="13" xfId="0" applyNumberFormat="1" applyFill="1" applyBorder="1"/>
    <xf numFmtId="0" fontId="0" fillId="0" borderId="17" xfId="0" applyBorder="1"/>
    <xf numFmtId="0" fontId="0" fillId="0" borderId="10" xfId="0" applyBorder="1" applyAlignment="1">
      <alignment horizontal="left"/>
    </xf>
    <xf numFmtId="0" fontId="0" fillId="0" borderId="26" xfId="0" applyBorder="1"/>
    <xf numFmtId="0" fontId="0" fillId="33" borderId="11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0" borderId="11" xfId="0" applyBorder="1"/>
    <xf numFmtId="0" fontId="18" fillId="0" borderId="10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Visit Frequency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Visit Frequency</a:t>
          </a:r>
        </a:p>
      </cx:txPr>
    </cx:title>
    <cx:plotArea>
      <cx:plotAreaRegion>
        <cx:series layoutId="clusteredColumn" uniqueId="{5D9DEB5C-6763-4409-9CE8-0B0697794E9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38</xdr:row>
      <xdr:rowOff>76200</xdr:rowOff>
    </xdr:from>
    <xdr:to>
      <xdr:col>5</xdr:col>
      <xdr:colOff>323850</xdr:colOff>
      <xdr:row>52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C1425B-58F9-4825-B6C8-804A7802BC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77438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9.036779629627" createdVersion="8" refreshedVersion="8" minRefreshableVersion="3" recordCount="100" xr:uid="{8CFE67D9-3295-4409-8F01-942B4E4113EE}">
  <cacheSource type="worksheet">
    <worksheetSource ref="A1:E101" sheet="Assignment_Data7 to 10"/>
  </cacheSource>
  <cacheFields count="5">
    <cacheField name="Age" numFmtId="0">
      <sharedItems containsSemiMixedTypes="0" containsString="0" containsNumber="1" containsInteger="1" minValue="18" maxValue="64" count="43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</sharedItems>
      <fieldGroup base="0">
        <rangePr startNum="18" endNum="64" groupInterval="9"/>
        <groupItems count="8">
          <s v="&lt;18"/>
          <s v="18-26"/>
          <s v="27-35"/>
          <s v="36-44"/>
          <s v="45-53"/>
          <s v="54-62"/>
          <s v="63-71"/>
          <s v="&gt;72"/>
        </groupItems>
      </fieldGroup>
    </cacheField>
    <cacheField name="Salary" numFmtId="0">
      <sharedItems containsSemiMixedTypes="0" containsString="0" containsNumber="1" containsInteger="1" minValue="27693" maxValue="179736" count="100">
        <n v="158767"/>
        <n v="149375"/>
        <n v="161330"/>
        <n v="64504"/>
        <n v="38986"/>
        <n v="86858"/>
        <n v="154312"/>
        <n v="37666"/>
        <n v="63660"/>
        <n v="159633"/>
        <n v="51854"/>
        <n v="89505"/>
        <n v="129488"/>
        <n v="47662"/>
        <n v="33392"/>
        <n v="55535"/>
        <n v="138569"/>
        <n v="77256"/>
        <n v="114135"/>
        <n v="152478"/>
        <n v="60222"/>
        <n v="102373"/>
        <n v="148684"/>
        <n v="35965"/>
        <n v="49538"/>
        <n v="133066"/>
        <n v="138252"/>
        <n v="164182"/>
        <n v="123806"/>
        <n v="162982"/>
        <n v="135989"/>
        <n v="115982"/>
        <n v="146626"/>
        <n v="144176"/>
        <n v="156278"/>
        <n v="147409"/>
        <n v="48419"/>
        <n v="75015"/>
        <n v="147096"/>
        <n v="132059"/>
        <n v="135687"/>
        <n v="112939"/>
        <n v="174213"/>
        <n v="130878"/>
        <n v="87623"/>
        <n v="100450"/>
        <n v="118426"/>
        <n v="142845"/>
        <n v="178371"/>
        <n v="68585"/>
        <n v="134225"/>
        <n v="89044"/>
        <n v="134556"/>
        <n v="27693"/>
        <n v="120259"/>
        <n v="50939"/>
        <n v="177906"/>
        <n v="43047"/>
        <n v="51105"/>
        <n v="100766"/>
        <n v="171779"/>
        <n v="178048"/>
        <n v="69262"/>
        <n v="150117"/>
        <n v="48776"/>
        <n v="153376"/>
        <n v="162848"/>
        <n v="117787"/>
        <n v="152948"/>
        <n v="80016"/>
        <n v="165546"/>
        <n v="46959"/>
        <n v="161602"/>
        <n v="144101"/>
        <n v="28748"/>
        <n v="38545"/>
        <n v="152659"/>
        <n v="98530"/>
        <n v="118557"/>
        <n v="86087"/>
        <n v="93840"/>
        <n v="143451"/>
        <n v="76005"/>
        <n v="64353"/>
        <n v="77733"/>
        <n v="90318"/>
        <n v="179736"/>
        <n v="92172"/>
        <n v="118264"/>
        <n v="51736"/>
        <n v="137859"/>
        <n v="137181"/>
        <n v="156926"/>
        <n v="115084"/>
        <n v="32392"/>
        <n v="80680"/>
        <n v="75859"/>
        <n v="150657"/>
        <n v="95467"/>
        <n v="123506"/>
      </sharedItems>
      <fieldGroup base="1">
        <rangePr startNum="27693" endNum="179736" groupInterval="25000"/>
        <groupItems count="9">
          <s v="&lt;27693"/>
          <s v="27693-52692"/>
          <s v="52693-77692"/>
          <s v="77693-102692"/>
          <s v="102693-127692"/>
          <s v="127693-152692"/>
          <s v="152693-177692"/>
          <s v="177693-202692"/>
          <s v="&gt;202693"/>
        </groupItems>
      </fieldGroup>
    </cacheField>
    <cacheField name="Purchase_Count" numFmtId="0">
      <sharedItems containsSemiMixedTypes="0" containsString="0" containsNumber="1" containsInteger="1" minValue="1" maxValue="49"/>
    </cacheField>
    <cacheField name="Satisfaction_Score" numFmtId="0">
      <sharedItems containsSemiMixedTypes="0" containsString="0" containsNumber="1" minValue="1.0618264660000001" maxValue="4.9602154000000001" count="100">
        <n v="1.9759585740000001"/>
        <n v="4.8920422190000004"/>
        <n v="2.5723908990000002"/>
        <n v="3.5245545040000001"/>
        <n v="4.1792452139999998"/>
        <n v="3.0105483720000001"/>
        <n v="3.3076155389999999"/>
        <n v="2.9700707749999999"/>
        <n v="1.7809719509999999"/>
        <n v="3.8898084609999999"/>
        <n v="2.1230894500000002"/>
        <n v="1.097263866"/>
        <n v="3.581889184"/>
        <n v="1.7084427179999999"/>
        <n v="4.7618343369999998"/>
        <n v="4.8157143080000004"/>
        <n v="4.659457561"/>
        <n v="2.4806348009999999"/>
        <n v="1.0618264660000001"/>
        <n v="4.7132742500000004"/>
        <n v="2.7127365929999998"/>
        <n v="4.8666192759999998"/>
        <n v="4.8544799080000001"/>
        <n v="4.4120378220000003"/>
        <n v="2.1777955680000001"/>
        <n v="2.5403909140000001"/>
        <n v="4.4045466859999998"/>
        <n v="2.2676880210000001"/>
        <n v="1.6779709869999999"/>
        <n v="3.2272050499999998"/>
        <n v="4.7446190970000002"/>
        <n v="3.7841191869999999"/>
        <n v="3.28024468"/>
        <n v="1.3887059749999999"/>
        <n v="3.4600289069999999"/>
        <n v="4.9602154000000001"/>
        <n v="1.5603360610000001"/>
        <n v="3.0733186090000002"/>
        <n v="4.5094922879999997"/>
        <n v="3.9630744710000001"/>
        <n v="3.7880629639999999"/>
        <n v="3.8099363359999998"/>
        <n v="2.4379646049999999"/>
        <n v="2.1743673769999998"/>
        <n v="4.2374446219999999"/>
        <n v="4.2404535790000004"/>
        <n v="4.468289274"/>
        <n v="4.6529622100000001"/>
        <n v="3.0453695949999999"/>
        <n v="3.0060651790000001"/>
        <n v="4.1931807159999996"/>
        <n v="3.5998557230000001"/>
        <n v="3.8078675089999998"/>
        <n v="4.1831706779999998"/>
        <n v="4.560021367"/>
        <n v="2.3519806270000001"/>
        <n v="2.5023318109999999"/>
        <n v="1.3759277590000001"/>
        <n v="3.3131205640000001"/>
        <n v="1.1437690949999999"/>
        <n v="2.8623920730000001"/>
        <n v="3.1705785390000001"/>
        <n v="2.1461650090000002"/>
        <n v="3.3633330419999998"/>
        <n v="1.122001"/>
        <n v="1.149392755"/>
        <n v="4.2904022429999999"/>
        <n v="2.4407625660000001"/>
        <n v="1.5082420510000001"/>
        <n v="3.0889730399999999"/>
        <n v="4.0799742119999998"/>
        <n v="1.8632841099999999"/>
        <n v="3.491561903"/>
        <n v="1.34138986"/>
        <n v="1.2067268849999999"/>
        <n v="3.1254185259999998"/>
        <n v="3.1625404860000002"/>
        <n v="3.549719606"/>
        <n v="3.904365335"/>
        <n v="4.9034083180000003"/>
        <n v="3.0652013930000002"/>
        <n v="2.2918258919999999"/>
        <n v="4.1807447790000003"/>
        <n v="2.083329005"/>
        <n v="2.7558856829999998"/>
        <n v="1.3138255249999999"/>
        <n v="1.101402974"/>
        <n v="4.8505936590000003"/>
        <n v="4.3439204819999997"/>
        <n v="3.7838968240000002"/>
        <n v="2.6358117779999999"/>
        <n v="1.69317728"/>
        <n v="1.6257481709999999"/>
        <n v="2.000971593"/>
        <n v="3.1969066590000002"/>
        <n v="3.8583836909999998"/>
        <n v="3.640789507"/>
        <n v="2.1197355880000002"/>
        <n v="4.819461123"/>
        <n v="4.5681862210000004" u="1"/>
      </sharedItems>
    </cacheField>
    <cacheField name="Visit_Frequency" numFmtId="0">
      <sharedItems containsSemiMixedTypes="0" containsString="0" containsNumber="1" containsInteger="1" minValue="1" maxValue="19" count="18">
        <n v="7"/>
        <n v="5"/>
        <n v="3"/>
        <n v="12"/>
        <n v="16"/>
        <n v="19"/>
        <n v="14"/>
        <n v="15"/>
        <n v="17"/>
        <n v="4"/>
        <n v="1"/>
        <n v="10"/>
        <n v="2"/>
        <n v="13"/>
        <n v="18"/>
        <n v="11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9.045991782405" createdVersion="8" refreshedVersion="8" minRefreshableVersion="3" recordCount="100" xr:uid="{41FFE3BF-453B-44A3-AAFF-4EDB99EB96D8}">
  <cacheSource type="worksheet">
    <worksheetSource ref="A1:E101" sheet="Assignment_Data7 to 10"/>
  </cacheSource>
  <cacheFields count="5">
    <cacheField name="Age" numFmtId="0">
      <sharedItems containsSemiMixedTypes="0" containsString="0" containsNumber="1" containsInteger="1" minValue="18" maxValue="64" count="43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</sharedItems>
    </cacheField>
    <cacheField name="Salary" numFmtId="0">
      <sharedItems containsSemiMixedTypes="0" containsString="0" containsNumber="1" containsInteger="1" minValue="27693" maxValue="179736"/>
    </cacheField>
    <cacheField name="Purchase_Count" numFmtId="0">
      <sharedItems containsSemiMixedTypes="0" containsString="0" containsNumber="1" containsInteger="1" minValue="1" maxValue="49"/>
    </cacheField>
    <cacheField name="Satisfaction_Score" numFmtId="0">
      <sharedItems containsSemiMixedTypes="0" containsString="0" containsNumber="1" minValue="1.0618264660000001" maxValue="4.9602154000000001"/>
    </cacheField>
    <cacheField name="Visit_Frequency" numFmtId="0">
      <sharedItems containsSemiMixedTypes="0" containsString="0" containsNumber="1" containsInteger="1" minValue="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7"/>
    <x v="0"/>
    <x v="0"/>
  </r>
  <r>
    <x v="1"/>
    <x v="1"/>
    <n v="38"/>
    <x v="1"/>
    <x v="1"/>
  </r>
  <r>
    <x v="2"/>
    <x v="2"/>
    <n v="24"/>
    <x v="2"/>
    <x v="2"/>
  </r>
  <r>
    <x v="3"/>
    <x v="3"/>
    <n v="5"/>
    <x v="2"/>
    <x v="3"/>
  </r>
  <r>
    <x v="4"/>
    <x v="4"/>
    <n v="34"/>
    <x v="3"/>
    <x v="4"/>
  </r>
  <r>
    <x v="5"/>
    <x v="5"/>
    <n v="6"/>
    <x v="4"/>
    <x v="5"/>
  </r>
  <r>
    <x v="0"/>
    <x v="6"/>
    <n v="22"/>
    <x v="5"/>
    <x v="1"/>
  </r>
  <r>
    <x v="6"/>
    <x v="7"/>
    <n v="11"/>
    <x v="6"/>
    <x v="6"/>
  </r>
  <r>
    <x v="7"/>
    <x v="8"/>
    <n v="48"/>
    <x v="7"/>
    <x v="1"/>
  </r>
  <r>
    <x v="8"/>
    <x v="9"/>
    <n v="16"/>
    <x v="8"/>
    <x v="7"/>
  </r>
  <r>
    <x v="8"/>
    <x v="10"/>
    <n v="33"/>
    <x v="9"/>
    <x v="8"/>
  </r>
  <r>
    <x v="9"/>
    <x v="11"/>
    <n v="9"/>
    <x v="10"/>
    <x v="6"/>
  </r>
  <r>
    <x v="10"/>
    <x v="12"/>
    <n v="6"/>
    <x v="11"/>
    <x v="1"/>
  </r>
  <r>
    <x v="11"/>
    <x v="13"/>
    <n v="16"/>
    <x v="12"/>
    <x v="3"/>
  </r>
  <r>
    <x v="9"/>
    <x v="14"/>
    <n v="29"/>
    <x v="13"/>
    <x v="4"/>
  </r>
  <r>
    <x v="12"/>
    <x v="15"/>
    <n v="3"/>
    <x v="14"/>
    <x v="4"/>
  </r>
  <r>
    <x v="13"/>
    <x v="16"/>
    <n v="20"/>
    <x v="15"/>
    <x v="0"/>
  </r>
  <r>
    <x v="14"/>
    <x v="17"/>
    <n v="36"/>
    <x v="16"/>
    <x v="9"/>
  </r>
  <r>
    <x v="9"/>
    <x v="18"/>
    <n v="19"/>
    <x v="17"/>
    <x v="10"/>
  </r>
  <r>
    <x v="15"/>
    <x v="19"/>
    <n v="26"/>
    <x v="18"/>
    <x v="1"/>
  </r>
  <r>
    <x v="16"/>
    <x v="20"/>
    <n v="3"/>
    <x v="19"/>
    <x v="11"/>
  </r>
  <r>
    <x v="17"/>
    <x v="21"/>
    <n v="19"/>
    <x v="20"/>
    <x v="1"/>
  </r>
  <r>
    <x v="14"/>
    <x v="22"/>
    <n v="20"/>
    <x v="21"/>
    <x v="9"/>
  </r>
  <r>
    <x v="5"/>
    <x v="23"/>
    <n v="32"/>
    <x v="22"/>
    <x v="12"/>
  </r>
  <r>
    <x v="18"/>
    <x v="24"/>
    <n v="7"/>
    <x v="23"/>
    <x v="11"/>
  </r>
  <r>
    <x v="19"/>
    <x v="25"/>
    <n v="41"/>
    <x v="24"/>
    <x v="5"/>
  </r>
  <r>
    <x v="13"/>
    <x v="26"/>
    <n v="33"/>
    <x v="25"/>
    <x v="10"/>
  </r>
  <r>
    <x v="15"/>
    <x v="27"/>
    <n v="40"/>
    <x v="26"/>
    <x v="1"/>
  </r>
  <r>
    <x v="20"/>
    <x v="28"/>
    <n v="39"/>
    <x v="27"/>
    <x v="13"/>
  </r>
  <r>
    <x v="21"/>
    <x v="29"/>
    <n v="18"/>
    <x v="28"/>
    <x v="9"/>
  </r>
  <r>
    <x v="22"/>
    <x v="30"/>
    <n v="40"/>
    <x v="29"/>
    <x v="4"/>
  </r>
  <r>
    <x v="23"/>
    <x v="31"/>
    <n v="1"/>
    <x v="30"/>
    <x v="4"/>
  </r>
  <r>
    <x v="24"/>
    <x v="32"/>
    <n v="11"/>
    <x v="31"/>
    <x v="12"/>
  </r>
  <r>
    <x v="2"/>
    <x v="33"/>
    <n v="28"/>
    <x v="32"/>
    <x v="8"/>
  </r>
  <r>
    <x v="25"/>
    <x v="34"/>
    <n v="25"/>
    <x v="33"/>
    <x v="3"/>
  </r>
  <r>
    <x v="15"/>
    <x v="35"/>
    <n v="23"/>
    <x v="34"/>
    <x v="14"/>
  </r>
  <r>
    <x v="12"/>
    <x v="36"/>
    <n v="31"/>
    <x v="35"/>
    <x v="2"/>
  </r>
  <r>
    <x v="26"/>
    <x v="37"/>
    <n v="30"/>
    <x v="36"/>
    <x v="10"/>
  </r>
  <r>
    <x v="27"/>
    <x v="38"/>
    <n v="42"/>
    <x v="37"/>
    <x v="10"/>
  </r>
  <r>
    <x v="5"/>
    <x v="39"/>
    <n v="35"/>
    <x v="38"/>
    <x v="5"/>
  </r>
  <r>
    <x v="28"/>
    <x v="40"/>
    <n v="7"/>
    <x v="39"/>
    <x v="15"/>
  </r>
  <r>
    <x v="0"/>
    <x v="41"/>
    <n v="16"/>
    <x v="40"/>
    <x v="1"/>
  </r>
  <r>
    <x v="29"/>
    <x v="42"/>
    <n v="26"/>
    <x v="41"/>
    <x v="3"/>
  </r>
  <r>
    <x v="30"/>
    <x v="43"/>
    <n v="48"/>
    <x v="42"/>
    <x v="2"/>
  </r>
  <r>
    <x v="20"/>
    <x v="44"/>
    <n v="49"/>
    <x v="43"/>
    <x v="10"/>
  </r>
  <r>
    <x v="31"/>
    <x v="45"/>
    <n v="2"/>
    <x v="44"/>
    <x v="10"/>
  </r>
  <r>
    <x v="28"/>
    <x v="46"/>
    <n v="1"/>
    <x v="45"/>
    <x v="16"/>
  </r>
  <r>
    <x v="32"/>
    <x v="47"/>
    <n v="48"/>
    <x v="46"/>
    <x v="11"/>
  </r>
  <r>
    <x v="14"/>
    <x v="48"/>
    <n v="12"/>
    <x v="47"/>
    <x v="15"/>
  </r>
  <r>
    <x v="33"/>
    <x v="49"/>
    <n v="5"/>
    <x v="48"/>
    <x v="3"/>
  </r>
  <r>
    <x v="23"/>
    <x v="50"/>
    <n v="37"/>
    <x v="49"/>
    <x v="13"/>
  </r>
  <r>
    <x v="25"/>
    <x v="51"/>
    <n v="32"/>
    <x v="50"/>
    <x v="3"/>
  </r>
  <r>
    <x v="27"/>
    <x v="52"/>
    <n v="9"/>
    <x v="51"/>
    <x v="6"/>
  </r>
  <r>
    <x v="15"/>
    <x v="53"/>
    <n v="41"/>
    <x v="52"/>
    <x v="12"/>
  </r>
  <r>
    <x v="4"/>
    <x v="54"/>
    <n v="35"/>
    <x v="53"/>
    <x v="5"/>
  </r>
  <r>
    <x v="25"/>
    <x v="55"/>
    <n v="19"/>
    <x v="54"/>
    <x v="14"/>
  </r>
  <r>
    <x v="34"/>
    <x v="56"/>
    <n v="48"/>
    <x v="55"/>
    <x v="2"/>
  </r>
  <r>
    <x v="31"/>
    <x v="57"/>
    <n v="16"/>
    <x v="56"/>
    <x v="8"/>
  </r>
  <r>
    <x v="35"/>
    <x v="58"/>
    <n v="3"/>
    <x v="57"/>
    <x v="16"/>
  </r>
  <r>
    <x v="10"/>
    <x v="59"/>
    <n v="20"/>
    <x v="58"/>
    <x v="11"/>
  </r>
  <r>
    <x v="11"/>
    <x v="60"/>
    <n v="24"/>
    <x v="59"/>
    <x v="12"/>
  </r>
  <r>
    <x v="30"/>
    <x v="61"/>
    <n v="33"/>
    <x v="60"/>
    <x v="5"/>
  </r>
  <r>
    <x v="14"/>
    <x v="62"/>
    <n v="24"/>
    <x v="61"/>
    <x v="17"/>
  </r>
  <r>
    <x v="36"/>
    <x v="63"/>
    <n v="11"/>
    <x v="62"/>
    <x v="0"/>
  </r>
  <r>
    <x v="22"/>
    <x v="64"/>
    <n v="49"/>
    <x v="63"/>
    <x v="9"/>
  </r>
  <r>
    <x v="30"/>
    <x v="65"/>
    <n v="8"/>
    <x v="64"/>
    <x v="14"/>
  </r>
  <r>
    <x v="1"/>
    <x v="66"/>
    <n v="36"/>
    <x v="65"/>
    <x v="13"/>
  </r>
  <r>
    <x v="29"/>
    <x v="67"/>
    <n v="38"/>
    <x v="66"/>
    <x v="15"/>
  </r>
  <r>
    <x v="32"/>
    <x v="68"/>
    <n v="40"/>
    <x v="67"/>
    <x v="9"/>
  </r>
  <r>
    <x v="15"/>
    <x v="69"/>
    <n v="20"/>
    <x v="68"/>
    <x v="9"/>
  </r>
  <r>
    <x v="37"/>
    <x v="70"/>
    <n v="35"/>
    <x v="69"/>
    <x v="11"/>
  </r>
  <r>
    <x v="38"/>
    <x v="71"/>
    <n v="48"/>
    <x v="70"/>
    <x v="1"/>
  </r>
  <r>
    <x v="10"/>
    <x v="72"/>
    <n v="25"/>
    <x v="71"/>
    <x v="17"/>
  </r>
  <r>
    <x v="31"/>
    <x v="73"/>
    <n v="35"/>
    <x v="72"/>
    <x v="2"/>
  </r>
  <r>
    <x v="39"/>
    <x v="74"/>
    <n v="25"/>
    <x v="73"/>
    <x v="8"/>
  </r>
  <r>
    <x v="2"/>
    <x v="75"/>
    <n v="29"/>
    <x v="74"/>
    <x v="2"/>
  </r>
  <r>
    <x v="4"/>
    <x v="76"/>
    <n v="18"/>
    <x v="75"/>
    <x v="4"/>
  </r>
  <r>
    <x v="31"/>
    <x v="77"/>
    <n v="46"/>
    <x v="76"/>
    <x v="9"/>
  </r>
  <r>
    <x v="7"/>
    <x v="78"/>
    <n v="18"/>
    <x v="77"/>
    <x v="14"/>
  </r>
  <r>
    <x v="11"/>
    <x v="79"/>
    <n v="2"/>
    <x v="78"/>
    <x v="8"/>
  </r>
  <r>
    <x v="5"/>
    <x v="80"/>
    <n v="35"/>
    <x v="79"/>
    <x v="0"/>
  </r>
  <r>
    <x v="24"/>
    <x v="81"/>
    <n v="16"/>
    <x v="80"/>
    <x v="1"/>
  </r>
  <r>
    <x v="40"/>
    <x v="82"/>
    <n v="41"/>
    <x v="81"/>
    <x v="3"/>
  </r>
  <r>
    <x v="29"/>
    <x v="83"/>
    <n v="36"/>
    <x v="82"/>
    <x v="8"/>
  </r>
  <r>
    <x v="25"/>
    <x v="84"/>
    <n v="33"/>
    <x v="83"/>
    <x v="13"/>
  </r>
  <r>
    <x v="9"/>
    <x v="85"/>
    <n v="4"/>
    <x v="84"/>
    <x v="2"/>
  </r>
  <r>
    <x v="32"/>
    <x v="86"/>
    <n v="33"/>
    <x v="85"/>
    <x v="17"/>
  </r>
  <r>
    <x v="20"/>
    <x v="87"/>
    <n v="14"/>
    <x v="86"/>
    <x v="8"/>
  </r>
  <r>
    <x v="40"/>
    <x v="88"/>
    <n v="21"/>
    <x v="87"/>
    <x v="8"/>
  </r>
  <r>
    <x v="41"/>
    <x v="89"/>
    <n v="48"/>
    <x v="88"/>
    <x v="4"/>
  </r>
  <r>
    <x v="1"/>
    <x v="90"/>
    <n v="20"/>
    <x v="89"/>
    <x v="13"/>
  </r>
  <r>
    <x v="2"/>
    <x v="91"/>
    <n v="8"/>
    <x v="90"/>
    <x v="5"/>
  </r>
  <r>
    <x v="40"/>
    <x v="92"/>
    <n v="7"/>
    <x v="91"/>
    <x v="8"/>
  </r>
  <r>
    <x v="42"/>
    <x v="93"/>
    <n v="3"/>
    <x v="92"/>
    <x v="9"/>
  </r>
  <r>
    <x v="20"/>
    <x v="94"/>
    <n v="17"/>
    <x v="93"/>
    <x v="3"/>
  </r>
  <r>
    <x v="27"/>
    <x v="95"/>
    <n v="33"/>
    <x v="94"/>
    <x v="17"/>
  </r>
  <r>
    <x v="28"/>
    <x v="96"/>
    <n v="48"/>
    <x v="95"/>
    <x v="5"/>
  </r>
  <r>
    <x v="9"/>
    <x v="97"/>
    <n v="12"/>
    <x v="96"/>
    <x v="3"/>
  </r>
  <r>
    <x v="42"/>
    <x v="98"/>
    <n v="22"/>
    <x v="97"/>
    <x v="17"/>
  </r>
  <r>
    <x v="15"/>
    <x v="99"/>
    <n v="22"/>
    <x v="9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158767"/>
    <n v="17"/>
    <n v="1.9759585740000001"/>
    <n v="7"/>
  </r>
  <r>
    <x v="1"/>
    <n v="149375"/>
    <n v="38"/>
    <n v="4.8920422190000004"/>
    <n v="5"/>
  </r>
  <r>
    <x v="2"/>
    <n v="161330"/>
    <n v="24"/>
    <n v="2.5723908990000002"/>
    <n v="3"/>
  </r>
  <r>
    <x v="3"/>
    <n v="64504"/>
    <n v="5"/>
    <n v="2.5723908990000002"/>
    <n v="12"/>
  </r>
  <r>
    <x v="4"/>
    <n v="38986"/>
    <n v="34"/>
    <n v="3.5245545040000001"/>
    <n v="16"/>
  </r>
  <r>
    <x v="5"/>
    <n v="86858"/>
    <n v="6"/>
    <n v="4.1792452139999998"/>
    <n v="19"/>
  </r>
  <r>
    <x v="0"/>
    <n v="154312"/>
    <n v="22"/>
    <n v="3.0105483720000001"/>
    <n v="5"/>
  </r>
  <r>
    <x v="6"/>
    <n v="37666"/>
    <n v="11"/>
    <n v="3.3076155389999999"/>
    <n v="14"/>
  </r>
  <r>
    <x v="7"/>
    <n v="63660"/>
    <n v="48"/>
    <n v="2.9700707749999999"/>
    <n v="5"/>
  </r>
  <r>
    <x v="8"/>
    <n v="159633"/>
    <n v="16"/>
    <n v="1.7809719509999999"/>
    <n v="15"/>
  </r>
  <r>
    <x v="8"/>
    <n v="51854"/>
    <n v="33"/>
    <n v="3.8898084609999999"/>
    <n v="17"/>
  </r>
  <r>
    <x v="9"/>
    <n v="89505"/>
    <n v="9"/>
    <n v="2.1230894500000002"/>
    <n v="14"/>
  </r>
  <r>
    <x v="10"/>
    <n v="129488"/>
    <n v="6"/>
    <n v="1.097263866"/>
    <n v="5"/>
  </r>
  <r>
    <x v="11"/>
    <n v="47662"/>
    <n v="16"/>
    <n v="3.581889184"/>
    <n v="12"/>
  </r>
  <r>
    <x v="9"/>
    <n v="33392"/>
    <n v="29"/>
    <n v="1.7084427179999999"/>
    <n v="16"/>
  </r>
  <r>
    <x v="12"/>
    <n v="55535"/>
    <n v="3"/>
    <n v="4.7618343369999998"/>
    <n v="16"/>
  </r>
  <r>
    <x v="13"/>
    <n v="138569"/>
    <n v="20"/>
    <n v="4.8157143080000004"/>
    <n v="7"/>
  </r>
  <r>
    <x v="14"/>
    <n v="77256"/>
    <n v="36"/>
    <n v="4.659457561"/>
    <n v="4"/>
  </r>
  <r>
    <x v="9"/>
    <n v="114135"/>
    <n v="19"/>
    <n v="2.4806348009999999"/>
    <n v="1"/>
  </r>
  <r>
    <x v="15"/>
    <n v="152478"/>
    <n v="26"/>
    <n v="1.0618264660000001"/>
    <n v="5"/>
  </r>
  <r>
    <x v="16"/>
    <n v="60222"/>
    <n v="3"/>
    <n v="4.7132742500000004"/>
    <n v="10"/>
  </r>
  <r>
    <x v="17"/>
    <n v="102373"/>
    <n v="19"/>
    <n v="2.7127365929999998"/>
    <n v="5"/>
  </r>
  <r>
    <x v="14"/>
    <n v="148684"/>
    <n v="20"/>
    <n v="4.8666192759999998"/>
    <n v="4"/>
  </r>
  <r>
    <x v="5"/>
    <n v="35965"/>
    <n v="32"/>
    <n v="4.8544799080000001"/>
    <n v="2"/>
  </r>
  <r>
    <x v="18"/>
    <n v="49538"/>
    <n v="7"/>
    <n v="4.4120378220000003"/>
    <n v="10"/>
  </r>
  <r>
    <x v="19"/>
    <n v="133066"/>
    <n v="41"/>
    <n v="2.1777955680000001"/>
    <n v="19"/>
  </r>
  <r>
    <x v="13"/>
    <n v="138252"/>
    <n v="33"/>
    <n v="2.5403909140000001"/>
    <n v="1"/>
  </r>
  <r>
    <x v="15"/>
    <n v="164182"/>
    <n v="40"/>
    <n v="4.4045466859999998"/>
    <n v="5"/>
  </r>
  <r>
    <x v="20"/>
    <n v="123806"/>
    <n v="39"/>
    <n v="2.2676880210000001"/>
    <n v="13"/>
  </r>
  <r>
    <x v="21"/>
    <n v="162982"/>
    <n v="18"/>
    <n v="1.6779709869999999"/>
    <n v="4"/>
  </r>
  <r>
    <x v="22"/>
    <n v="135989"/>
    <n v="40"/>
    <n v="3.2272050499999998"/>
    <n v="16"/>
  </r>
  <r>
    <x v="23"/>
    <n v="115982"/>
    <n v="1"/>
    <n v="4.7446190970000002"/>
    <n v="16"/>
  </r>
  <r>
    <x v="24"/>
    <n v="146626"/>
    <n v="11"/>
    <n v="3.7841191869999999"/>
    <n v="2"/>
  </r>
  <r>
    <x v="2"/>
    <n v="144176"/>
    <n v="28"/>
    <n v="3.28024468"/>
    <n v="17"/>
  </r>
  <r>
    <x v="25"/>
    <n v="156278"/>
    <n v="25"/>
    <n v="1.3887059749999999"/>
    <n v="12"/>
  </r>
  <r>
    <x v="15"/>
    <n v="147409"/>
    <n v="23"/>
    <n v="3.4600289069999999"/>
    <n v="18"/>
  </r>
  <r>
    <x v="12"/>
    <n v="48419"/>
    <n v="31"/>
    <n v="4.9602154000000001"/>
    <n v="3"/>
  </r>
  <r>
    <x v="26"/>
    <n v="75015"/>
    <n v="30"/>
    <n v="1.5603360610000001"/>
    <n v="1"/>
  </r>
  <r>
    <x v="27"/>
    <n v="147096"/>
    <n v="42"/>
    <n v="3.0733186090000002"/>
    <n v="1"/>
  </r>
  <r>
    <x v="5"/>
    <n v="132059"/>
    <n v="35"/>
    <n v="4.5094922879999997"/>
    <n v="19"/>
  </r>
  <r>
    <x v="28"/>
    <n v="135687"/>
    <n v="7"/>
    <n v="3.9630744710000001"/>
    <n v="11"/>
  </r>
  <r>
    <x v="0"/>
    <n v="112939"/>
    <n v="16"/>
    <n v="3.7880629639999999"/>
    <n v="5"/>
  </r>
  <r>
    <x v="29"/>
    <n v="174213"/>
    <n v="26"/>
    <n v="3.8099363359999998"/>
    <n v="12"/>
  </r>
  <r>
    <x v="30"/>
    <n v="130878"/>
    <n v="48"/>
    <n v="2.4379646049999999"/>
    <n v="3"/>
  </r>
  <r>
    <x v="20"/>
    <n v="87623"/>
    <n v="49"/>
    <n v="2.1743673769999998"/>
    <n v="1"/>
  </r>
  <r>
    <x v="31"/>
    <n v="100450"/>
    <n v="2"/>
    <n v="4.2374446219999999"/>
    <n v="1"/>
  </r>
  <r>
    <x v="28"/>
    <n v="118426"/>
    <n v="1"/>
    <n v="4.2404535790000004"/>
    <n v="8"/>
  </r>
  <r>
    <x v="32"/>
    <n v="142845"/>
    <n v="48"/>
    <n v="4.468289274"/>
    <n v="10"/>
  </r>
  <r>
    <x v="14"/>
    <n v="178371"/>
    <n v="12"/>
    <n v="4.6529622100000001"/>
    <n v="11"/>
  </r>
  <r>
    <x v="33"/>
    <n v="68585"/>
    <n v="5"/>
    <n v="3.0453695949999999"/>
    <n v="12"/>
  </r>
  <r>
    <x v="23"/>
    <n v="134225"/>
    <n v="37"/>
    <n v="3.0060651790000001"/>
    <n v="13"/>
  </r>
  <r>
    <x v="25"/>
    <n v="89044"/>
    <n v="32"/>
    <n v="4.1931807159999996"/>
    <n v="12"/>
  </r>
  <r>
    <x v="27"/>
    <n v="134556"/>
    <n v="9"/>
    <n v="3.5998557230000001"/>
    <n v="14"/>
  </r>
  <r>
    <x v="15"/>
    <n v="27693"/>
    <n v="41"/>
    <n v="3.8078675089999998"/>
    <n v="2"/>
  </r>
  <r>
    <x v="4"/>
    <n v="120259"/>
    <n v="35"/>
    <n v="4.1831706779999998"/>
    <n v="19"/>
  </r>
  <r>
    <x v="25"/>
    <n v="50939"/>
    <n v="19"/>
    <n v="4.560021367"/>
    <n v="18"/>
  </r>
  <r>
    <x v="34"/>
    <n v="177906"/>
    <n v="48"/>
    <n v="2.3519806270000001"/>
    <n v="3"/>
  </r>
  <r>
    <x v="31"/>
    <n v="43047"/>
    <n v="16"/>
    <n v="2.5023318109999999"/>
    <n v="17"/>
  </r>
  <r>
    <x v="35"/>
    <n v="51105"/>
    <n v="3"/>
    <n v="1.3759277590000001"/>
    <n v="8"/>
  </r>
  <r>
    <x v="10"/>
    <n v="100766"/>
    <n v="20"/>
    <n v="3.3131205640000001"/>
    <n v="10"/>
  </r>
  <r>
    <x v="11"/>
    <n v="171779"/>
    <n v="24"/>
    <n v="1.1437690949999999"/>
    <n v="2"/>
  </r>
  <r>
    <x v="30"/>
    <n v="178048"/>
    <n v="33"/>
    <n v="2.8623920730000001"/>
    <n v="19"/>
  </r>
  <r>
    <x v="14"/>
    <n v="69262"/>
    <n v="24"/>
    <n v="3.1705785390000001"/>
    <n v="9"/>
  </r>
  <r>
    <x v="36"/>
    <n v="150117"/>
    <n v="11"/>
    <n v="2.1461650090000002"/>
    <n v="7"/>
  </r>
  <r>
    <x v="22"/>
    <n v="48776"/>
    <n v="49"/>
    <n v="3.3633330419999998"/>
    <n v="4"/>
  </r>
  <r>
    <x v="30"/>
    <n v="153376"/>
    <n v="8"/>
    <n v="1.122001"/>
    <n v="18"/>
  </r>
  <r>
    <x v="1"/>
    <n v="162848"/>
    <n v="36"/>
    <n v="1.149392755"/>
    <n v="13"/>
  </r>
  <r>
    <x v="29"/>
    <n v="117787"/>
    <n v="38"/>
    <n v="4.2904022429999999"/>
    <n v="11"/>
  </r>
  <r>
    <x v="32"/>
    <n v="152948"/>
    <n v="40"/>
    <n v="2.4407625660000001"/>
    <n v="4"/>
  </r>
  <r>
    <x v="15"/>
    <n v="80016"/>
    <n v="20"/>
    <n v="1.5082420510000001"/>
    <n v="4"/>
  </r>
  <r>
    <x v="37"/>
    <n v="165546"/>
    <n v="35"/>
    <n v="3.0889730399999999"/>
    <n v="10"/>
  </r>
  <r>
    <x v="38"/>
    <n v="46959"/>
    <n v="48"/>
    <n v="4.0799742119999998"/>
    <n v="5"/>
  </r>
  <r>
    <x v="10"/>
    <n v="161602"/>
    <n v="25"/>
    <n v="1.8632841099999999"/>
    <n v="9"/>
  </r>
  <r>
    <x v="31"/>
    <n v="144101"/>
    <n v="35"/>
    <n v="3.491561903"/>
    <n v="3"/>
  </r>
  <r>
    <x v="39"/>
    <n v="28748"/>
    <n v="25"/>
    <n v="1.34138986"/>
    <n v="17"/>
  </r>
  <r>
    <x v="2"/>
    <n v="38545"/>
    <n v="29"/>
    <n v="1.2067268849999999"/>
    <n v="3"/>
  </r>
  <r>
    <x v="4"/>
    <n v="152659"/>
    <n v="18"/>
    <n v="3.1254185259999998"/>
    <n v="16"/>
  </r>
  <r>
    <x v="31"/>
    <n v="98530"/>
    <n v="46"/>
    <n v="3.1625404860000002"/>
    <n v="4"/>
  </r>
  <r>
    <x v="7"/>
    <n v="118557"/>
    <n v="18"/>
    <n v="3.549719606"/>
    <n v="18"/>
  </r>
  <r>
    <x v="11"/>
    <n v="86087"/>
    <n v="2"/>
    <n v="3.904365335"/>
    <n v="17"/>
  </r>
  <r>
    <x v="5"/>
    <n v="93840"/>
    <n v="35"/>
    <n v="4.9034083180000003"/>
    <n v="7"/>
  </r>
  <r>
    <x v="24"/>
    <n v="143451"/>
    <n v="16"/>
    <n v="3.0652013930000002"/>
    <n v="5"/>
  </r>
  <r>
    <x v="40"/>
    <n v="76005"/>
    <n v="41"/>
    <n v="2.2918258919999999"/>
    <n v="12"/>
  </r>
  <r>
    <x v="29"/>
    <n v="64353"/>
    <n v="36"/>
    <n v="4.1807447790000003"/>
    <n v="17"/>
  </r>
  <r>
    <x v="25"/>
    <n v="77733"/>
    <n v="33"/>
    <n v="2.083329005"/>
    <n v="13"/>
  </r>
  <r>
    <x v="9"/>
    <n v="90318"/>
    <n v="4"/>
    <n v="2.7558856829999998"/>
    <n v="3"/>
  </r>
  <r>
    <x v="32"/>
    <n v="179736"/>
    <n v="33"/>
    <n v="1.3138255249999999"/>
    <n v="9"/>
  </r>
  <r>
    <x v="20"/>
    <n v="92172"/>
    <n v="14"/>
    <n v="1.101402974"/>
    <n v="17"/>
  </r>
  <r>
    <x v="40"/>
    <n v="118264"/>
    <n v="21"/>
    <n v="4.8505936590000003"/>
    <n v="17"/>
  </r>
  <r>
    <x v="41"/>
    <n v="51736"/>
    <n v="48"/>
    <n v="4.3439204819999997"/>
    <n v="16"/>
  </r>
  <r>
    <x v="1"/>
    <n v="137859"/>
    <n v="20"/>
    <n v="3.7838968240000002"/>
    <n v="13"/>
  </r>
  <r>
    <x v="2"/>
    <n v="137181"/>
    <n v="8"/>
    <n v="2.6358117779999999"/>
    <n v="19"/>
  </r>
  <r>
    <x v="40"/>
    <n v="156926"/>
    <n v="7"/>
    <n v="1.69317728"/>
    <n v="17"/>
  </r>
  <r>
    <x v="42"/>
    <n v="115084"/>
    <n v="3"/>
    <n v="1.6257481709999999"/>
    <n v="4"/>
  </r>
  <r>
    <x v="20"/>
    <n v="32392"/>
    <n v="17"/>
    <n v="2.000971593"/>
    <n v="12"/>
  </r>
  <r>
    <x v="27"/>
    <n v="80680"/>
    <n v="33"/>
    <n v="3.1969066590000002"/>
    <n v="9"/>
  </r>
  <r>
    <x v="28"/>
    <n v="75859"/>
    <n v="48"/>
    <n v="3.8583836909999998"/>
    <n v="19"/>
  </r>
  <r>
    <x v="9"/>
    <n v="150657"/>
    <n v="12"/>
    <n v="3.640789507"/>
    <n v="12"/>
  </r>
  <r>
    <x v="42"/>
    <n v="95467"/>
    <n v="22"/>
    <n v="2.1197355880000002"/>
    <n v="9"/>
  </r>
  <r>
    <x v="15"/>
    <n v="123506"/>
    <n v="22"/>
    <n v="4.819461123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079E4-9074-4233-BB73-2905BC491DC7}" name="PivotTable1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ary Range">
  <location ref="A62:B70" firstHeaderRow="1" firstDataRow="1" firstDataCol="1"/>
  <pivotFields count="5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of Purchase_Count" fld="2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62BD0-3AEB-4D7D-8423-2DDC537A103A}" name="PivotTable1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Range">
  <location ref="A51:D58" firstHeaderRow="0" firstDataRow="1" firstDataCol="1"/>
  <pivotFields count="5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Salary" fld="1" subtotal="min" baseField="0" baseItem="4"/>
    <dataField name="Max of Salary" fld="1" subtotal="max" baseField="0" baseItem="4"/>
    <dataField name="Average of Salary" fld="1" subtotal="average" baseField="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3A21A-3B47-4881-A644-C9AF951E23BF}" name="PivotTable1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3:B47" firstHeaderRow="1" firstDataRow="1" firstDataCol="1"/>
  <pivotFields count="5">
    <pivotField axis="axisRow" showAll="0">
      <items count="44">
        <item x="42"/>
        <item x="14"/>
        <item x="12"/>
        <item x="30"/>
        <item x="36"/>
        <item x="27"/>
        <item x="4"/>
        <item x="28"/>
        <item x="38"/>
        <item x="8"/>
        <item x="19"/>
        <item x="31"/>
        <item x="2"/>
        <item x="24"/>
        <item x="35"/>
        <item x="29"/>
        <item x="6"/>
        <item x="33"/>
        <item x="5"/>
        <item x="13"/>
        <item x="7"/>
        <item x="9"/>
        <item x="20"/>
        <item x="32"/>
        <item x="21"/>
        <item x="23"/>
        <item x="1"/>
        <item x="16"/>
        <item x="39"/>
        <item x="18"/>
        <item x="37"/>
        <item x="34"/>
        <item x="10"/>
        <item x="26"/>
        <item x="17"/>
        <item x="0"/>
        <item x="11"/>
        <item x="41"/>
        <item x="22"/>
        <item x="3"/>
        <item x="15"/>
        <item x="40"/>
        <item x="25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Average of Salary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6A21F-D1B0-4084-8D8F-26C5601F7E78}" name="PivotTable10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isit Frequency">
  <location ref="D3:E22" firstHeaderRow="1" firstDataRow="1" firstDataCol="1"/>
  <pivotFields count="5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dataField="1" showAll="0">
      <items count="19">
        <item x="10"/>
        <item x="12"/>
        <item x="2"/>
        <item x="9"/>
        <item x="1"/>
        <item x="0"/>
        <item x="16"/>
        <item x="17"/>
        <item x="11"/>
        <item x="15"/>
        <item x="3"/>
        <item x="13"/>
        <item x="6"/>
        <item x="7"/>
        <item x="4"/>
        <item x="8"/>
        <item x="14"/>
        <item x="5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Visit_Frequency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DCCEA-5C6D-4369-BCE5-C1EDC396A5C4}" name="PivotTable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tisfaction Score">
  <location ref="G3:H103" firstHeaderRow="1" firstDataRow="1" firstDataCol="1"/>
  <pivotFields count="5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axis="axisRow" showAll="0">
      <items count="101">
        <item x="18"/>
        <item x="11"/>
        <item x="86"/>
        <item x="64"/>
        <item x="59"/>
        <item x="65"/>
        <item x="74"/>
        <item x="85"/>
        <item x="73"/>
        <item x="57"/>
        <item x="33"/>
        <item x="68"/>
        <item x="36"/>
        <item x="92"/>
        <item x="28"/>
        <item x="91"/>
        <item x="13"/>
        <item x="8"/>
        <item x="71"/>
        <item x="0"/>
        <item x="93"/>
        <item x="83"/>
        <item x="97"/>
        <item x="10"/>
        <item x="62"/>
        <item x="43"/>
        <item x="24"/>
        <item x="27"/>
        <item x="81"/>
        <item x="55"/>
        <item x="42"/>
        <item x="67"/>
        <item x="17"/>
        <item x="56"/>
        <item x="25"/>
        <item x="2"/>
        <item x="90"/>
        <item x="20"/>
        <item x="84"/>
        <item x="60"/>
        <item x="7"/>
        <item x="49"/>
        <item x="5"/>
        <item x="48"/>
        <item x="80"/>
        <item x="37"/>
        <item x="69"/>
        <item x="75"/>
        <item x="76"/>
        <item x="61"/>
        <item x="94"/>
        <item x="29"/>
        <item x="32"/>
        <item x="6"/>
        <item x="58"/>
        <item x="63"/>
        <item x="34"/>
        <item x="72"/>
        <item x="3"/>
        <item x="77"/>
        <item x="12"/>
        <item x="51"/>
        <item x="96"/>
        <item x="89"/>
        <item x="31"/>
        <item x="40"/>
        <item x="52"/>
        <item x="41"/>
        <item x="95"/>
        <item x="9"/>
        <item x="78"/>
        <item x="39"/>
        <item x="70"/>
        <item x="4"/>
        <item x="82"/>
        <item x="53"/>
        <item x="50"/>
        <item x="44"/>
        <item x="45"/>
        <item x="66"/>
        <item x="88"/>
        <item x="26"/>
        <item x="23"/>
        <item x="46"/>
        <item x="38"/>
        <item x="54"/>
        <item m="1" x="99"/>
        <item x="47"/>
        <item x="16"/>
        <item x="19"/>
        <item x="30"/>
        <item x="14"/>
        <item x="15"/>
        <item x="98"/>
        <item x="87"/>
        <item x="22"/>
        <item x="21"/>
        <item x="1"/>
        <item x="79"/>
        <item x="35"/>
        <item t="default"/>
      </items>
    </pivotField>
    <pivotField showAll="0"/>
  </pivotFields>
  <rowFields count="1">
    <field x="3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CCFE-D5CE-41AD-AFF6-CCF8D6EA4CEB}">
  <dimension ref="A1:HE101"/>
  <sheetViews>
    <sheetView topLeftCell="A81" workbookViewId="0">
      <selection sqref="A1:E101"/>
    </sheetView>
  </sheetViews>
  <sheetFormatPr defaultRowHeight="15" x14ac:dyDescent="0.25"/>
  <cols>
    <col min="1" max="1" width="4.42578125" bestFit="1" customWidth="1"/>
    <col min="2" max="2" width="7" bestFit="1" customWidth="1"/>
    <col min="3" max="3" width="15.42578125" bestFit="1" customWidth="1"/>
    <col min="4" max="4" width="17.42578125" bestFit="1" customWidth="1"/>
    <col min="5" max="5" width="15.42578125" bestFit="1" customWidth="1"/>
    <col min="6" max="6" width="15.42578125" customWidth="1"/>
    <col min="7" max="7" width="12" bestFit="1" customWidth="1"/>
    <col min="8" max="8" width="5" bestFit="1" customWidth="1"/>
    <col min="9" max="10" width="12.7109375" bestFit="1" customWidth="1"/>
    <col min="213" max="213" width="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56</v>
      </c>
      <c r="B2">
        <v>158767</v>
      </c>
      <c r="C2">
        <v>17</v>
      </c>
      <c r="D2">
        <v>1.9759585740000001</v>
      </c>
      <c r="E2">
        <v>7</v>
      </c>
    </row>
    <row r="3" spans="1:5" x14ac:dyDescent="0.25">
      <c r="A3">
        <v>46</v>
      </c>
      <c r="B3">
        <v>149375</v>
      </c>
      <c r="C3">
        <v>38</v>
      </c>
      <c r="D3">
        <v>4.8920422190000004</v>
      </c>
      <c r="E3">
        <v>5</v>
      </c>
    </row>
    <row r="4" spans="1:5" x14ac:dyDescent="0.25">
      <c r="A4">
        <v>32</v>
      </c>
      <c r="B4">
        <v>161330</v>
      </c>
      <c r="C4">
        <v>24</v>
      </c>
      <c r="D4">
        <v>2.5723908990000002</v>
      </c>
      <c r="E4">
        <v>3</v>
      </c>
    </row>
    <row r="5" spans="1:5" x14ac:dyDescent="0.25">
      <c r="A5">
        <v>60</v>
      </c>
      <c r="B5">
        <v>64504</v>
      </c>
      <c r="C5">
        <v>5</v>
      </c>
      <c r="D5">
        <v>2.5723908990000002</v>
      </c>
      <c r="E5">
        <v>12</v>
      </c>
    </row>
    <row r="6" spans="1:5" x14ac:dyDescent="0.25">
      <c r="A6">
        <v>25</v>
      </c>
      <c r="B6">
        <v>38986</v>
      </c>
      <c r="C6">
        <v>34</v>
      </c>
      <c r="D6">
        <v>3.5245545040000001</v>
      </c>
      <c r="E6">
        <v>16</v>
      </c>
    </row>
    <row r="7" spans="1:5" x14ac:dyDescent="0.25">
      <c r="A7">
        <v>38</v>
      </c>
      <c r="B7">
        <v>86858</v>
      </c>
      <c r="C7">
        <v>6</v>
      </c>
      <c r="D7">
        <v>4.1792452139999998</v>
      </c>
      <c r="E7">
        <v>19</v>
      </c>
    </row>
    <row r="8" spans="1:5" x14ac:dyDescent="0.25">
      <c r="A8">
        <v>56</v>
      </c>
      <c r="B8">
        <v>154312</v>
      </c>
      <c r="C8">
        <v>22</v>
      </c>
      <c r="D8">
        <v>3.0105483720000001</v>
      </c>
      <c r="E8">
        <v>5</v>
      </c>
    </row>
    <row r="9" spans="1:5" x14ac:dyDescent="0.25">
      <c r="A9">
        <v>36</v>
      </c>
      <c r="B9">
        <v>37666</v>
      </c>
      <c r="C9">
        <v>11</v>
      </c>
      <c r="D9">
        <v>3.3076155389999999</v>
      </c>
      <c r="E9">
        <v>14</v>
      </c>
    </row>
    <row r="10" spans="1:5" x14ac:dyDescent="0.25">
      <c r="A10">
        <v>40</v>
      </c>
      <c r="B10">
        <v>63660</v>
      </c>
      <c r="C10">
        <v>48</v>
      </c>
      <c r="D10">
        <v>2.9700707749999999</v>
      </c>
      <c r="E10">
        <v>5</v>
      </c>
    </row>
    <row r="11" spans="1:5" x14ac:dyDescent="0.25">
      <c r="A11">
        <v>28</v>
      </c>
      <c r="B11">
        <v>159633</v>
      </c>
      <c r="C11">
        <v>16</v>
      </c>
      <c r="D11">
        <v>1.7809719509999999</v>
      </c>
      <c r="E11">
        <v>15</v>
      </c>
    </row>
    <row r="12" spans="1:5" x14ac:dyDescent="0.25">
      <c r="A12">
        <v>28</v>
      </c>
      <c r="B12">
        <v>51854</v>
      </c>
      <c r="C12">
        <v>33</v>
      </c>
      <c r="D12">
        <v>3.8898084609999999</v>
      </c>
      <c r="E12">
        <v>17</v>
      </c>
    </row>
    <row r="13" spans="1:5" x14ac:dyDescent="0.25">
      <c r="A13">
        <v>41</v>
      </c>
      <c r="B13">
        <v>89505</v>
      </c>
      <c r="C13">
        <v>9</v>
      </c>
      <c r="D13">
        <v>2.1230894500000002</v>
      </c>
      <c r="E13">
        <v>14</v>
      </c>
    </row>
    <row r="14" spans="1:5" x14ac:dyDescent="0.25">
      <c r="A14">
        <v>53</v>
      </c>
      <c r="B14">
        <v>129488</v>
      </c>
      <c r="C14">
        <v>6</v>
      </c>
      <c r="D14">
        <v>1.097263866</v>
      </c>
      <c r="E14">
        <v>5</v>
      </c>
    </row>
    <row r="15" spans="1:5" x14ac:dyDescent="0.25">
      <c r="A15">
        <v>57</v>
      </c>
      <c r="B15">
        <v>47662</v>
      </c>
      <c r="C15">
        <v>16</v>
      </c>
      <c r="D15">
        <v>3.581889184</v>
      </c>
      <c r="E15">
        <v>12</v>
      </c>
    </row>
    <row r="16" spans="1:5" x14ac:dyDescent="0.25">
      <c r="A16">
        <v>41</v>
      </c>
      <c r="B16">
        <v>33392</v>
      </c>
      <c r="C16">
        <v>29</v>
      </c>
      <c r="D16">
        <v>1.7084427179999999</v>
      </c>
      <c r="E16">
        <v>16</v>
      </c>
    </row>
    <row r="17" spans="1:5" x14ac:dyDescent="0.25">
      <c r="A17">
        <v>20</v>
      </c>
      <c r="B17">
        <v>55535</v>
      </c>
      <c r="C17">
        <v>3</v>
      </c>
      <c r="D17">
        <v>4.7618343369999998</v>
      </c>
      <c r="E17">
        <v>16</v>
      </c>
    </row>
    <row r="18" spans="1:5" x14ac:dyDescent="0.25">
      <c r="A18">
        <v>39</v>
      </c>
      <c r="B18">
        <v>138569</v>
      </c>
      <c r="C18">
        <v>20</v>
      </c>
      <c r="D18">
        <v>4.8157143080000004</v>
      </c>
      <c r="E18">
        <v>7</v>
      </c>
    </row>
    <row r="19" spans="1:5" x14ac:dyDescent="0.25">
      <c r="A19">
        <v>19</v>
      </c>
      <c r="B19">
        <v>77256</v>
      </c>
      <c r="C19">
        <v>36</v>
      </c>
      <c r="D19">
        <v>4.659457561</v>
      </c>
      <c r="E19">
        <v>4</v>
      </c>
    </row>
    <row r="20" spans="1:5" x14ac:dyDescent="0.25">
      <c r="A20">
        <v>41</v>
      </c>
      <c r="B20">
        <v>114135</v>
      </c>
      <c r="C20">
        <v>19</v>
      </c>
      <c r="D20">
        <v>2.4806348009999999</v>
      </c>
      <c r="E20">
        <v>1</v>
      </c>
    </row>
    <row r="21" spans="1:5" x14ac:dyDescent="0.25">
      <c r="A21">
        <v>61</v>
      </c>
      <c r="B21">
        <v>152478</v>
      </c>
      <c r="C21">
        <v>26</v>
      </c>
      <c r="D21">
        <v>1.0618264660000001</v>
      </c>
      <c r="E21">
        <v>5</v>
      </c>
    </row>
    <row r="22" spans="1:5" x14ac:dyDescent="0.25">
      <c r="A22">
        <v>47</v>
      </c>
      <c r="B22">
        <v>60222</v>
      </c>
      <c r="C22">
        <v>3</v>
      </c>
      <c r="D22">
        <v>4.7132742500000004</v>
      </c>
      <c r="E22">
        <v>10</v>
      </c>
    </row>
    <row r="23" spans="1:5" x14ac:dyDescent="0.25">
      <c r="A23">
        <v>55</v>
      </c>
      <c r="B23">
        <v>102373</v>
      </c>
      <c r="C23">
        <v>19</v>
      </c>
      <c r="D23">
        <v>2.7127365929999998</v>
      </c>
      <c r="E23">
        <v>5</v>
      </c>
    </row>
    <row r="24" spans="1:5" x14ac:dyDescent="0.25">
      <c r="A24">
        <v>19</v>
      </c>
      <c r="B24">
        <v>148684</v>
      </c>
      <c r="C24">
        <v>20</v>
      </c>
      <c r="D24">
        <v>4.8666192759999998</v>
      </c>
      <c r="E24">
        <v>4</v>
      </c>
    </row>
    <row r="25" spans="1:5" x14ac:dyDescent="0.25">
      <c r="A25">
        <v>38</v>
      </c>
      <c r="B25">
        <v>35965</v>
      </c>
      <c r="C25">
        <v>32</v>
      </c>
      <c r="D25">
        <v>4.8544799080000001</v>
      </c>
      <c r="E25">
        <v>2</v>
      </c>
    </row>
    <row r="26" spans="1:5" x14ac:dyDescent="0.25">
      <c r="A26">
        <v>50</v>
      </c>
      <c r="B26">
        <v>49538</v>
      </c>
      <c r="C26">
        <v>7</v>
      </c>
      <c r="D26">
        <v>4.4120378220000003</v>
      </c>
      <c r="E26">
        <v>10</v>
      </c>
    </row>
    <row r="27" spans="1:5" x14ac:dyDescent="0.25">
      <c r="A27">
        <v>29</v>
      </c>
      <c r="B27">
        <v>133066</v>
      </c>
      <c r="C27">
        <v>41</v>
      </c>
      <c r="D27">
        <v>2.1777955680000001</v>
      </c>
      <c r="E27">
        <v>19</v>
      </c>
    </row>
    <row r="28" spans="1:5" x14ac:dyDescent="0.25">
      <c r="A28">
        <v>39</v>
      </c>
      <c r="B28">
        <v>138252</v>
      </c>
      <c r="C28">
        <v>33</v>
      </c>
      <c r="D28">
        <v>2.5403909140000001</v>
      </c>
      <c r="E28">
        <v>1</v>
      </c>
    </row>
    <row r="29" spans="1:5" x14ac:dyDescent="0.25">
      <c r="A29">
        <v>61</v>
      </c>
      <c r="B29">
        <v>164182</v>
      </c>
      <c r="C29">
        <v>40</v>
      </c>
      <c r="D29">
        <v>4.4045466859999998</v>
      </c>
      <c r="E29">
        <v>5</v>
      </c>
    </row>
    <row r="30" spans="1:5" x14ac:dyDescent="0.25">
      <c r="A30">
        <v>42</v>
      </c>
      <c r="B30">
        <v>123806</v>
      </c>
      <c r="C30">
        <v>39</v>
      </c>
      <c r="D30">
        <v>2.2676880210000001</v>
      </c>
      <c r="E30">
        <v>13</v>
      </c>
    </row>
    <row r="31" spans="1:5" x14ac:dyDescent="0.25">
      <c r="A31">
        <v>44</v>
      </c>
      <c r="B31">
        <v>162982</v>
      </c>
      <c r="C31">
        <v>18</v>
      </c>
      <c r="D31">
        <v>1.6779709869999999</v>
      </c>
      <c r="E31">
        <v>4</v>
      </c>
    </row>
    <row r="32" spans="1:5" x14ac:dyDescent="0.25">
      <c r="A32">
        <v>59</v>
      </c>
      <c r="B32">
        <v>135989</v>
      </c>
      <c r="C32">
        <v>40</v>
      </c>
      <c r="D32">
        <v>3.2272050499999998</v>
      </c>
      <c r="E32">
        <v>16</v>
      </c>
    </row>
    <row r="33" spans="1:5" x14ac:dyDescent="0.25">
      <c r="A33">
        <v>45</v>
      </c>
      <c r="B33">
        <v>115982</v>
      </c>
      <c r="C33">
        <v>1</v>
      </c>
      <c r="D33">
        <v>4.7446190970000002</v>
      </c>
      <c r="E33">
        <v>16</v>
      </c>
    </row>
    <row r="34" spans="1:5" x14ac:dyDescent="0.25">
      <c r="A34">
        <v>33</v>
      </c>
      <c r="B34">
        <v>146626</v>
      </c>
      <c r="C34">
        <v>11</v>
      </c>
      <c r="D34">
        <v>3.7841191869999999</v>
      </c>
      <c r="E34">
        <v>2</v>
      </c>
    </row>
    <row r="35" spans="1:5" x14ac:dyDescent="0.25">
      <c r="A35">
        <v>32</v>
      </c>
      <c r="B35">
        <v>144176</v>
      </c>
      <c r="C35">
        <v>28</v>
      </c>
      <c r="D35">
        <v>3.28024468</v>
      </c>
      <c r="E35">
        <v>17</v>
      </c>
    </row>
    <row r="36" spans="1:5" x14ac:dyDescent="0.25">
      <c r="A36">
        <v>64</v>
      </c>
      <c r="B36">
        <v>156278</v>
      </c>
      <c r="C36">
        <v>25</v>
      </c>
      <c r="D36">
        <v>1.3887059749999999</v>
      </c>
      <c r="E36">
        <v>12</v>
      </c>
    </row>
    <row r="37" spans="1:5" x14ac:dyDescent="0.25">
      <c r="A37">
        <v>61</v>
      </c>
      <c r="B37">
        <v>147409</v>
      </c>
      <c r="C37">
        <v>23</v>
      </c>
      <c r="D37">
        <v>3.4600289069999999</v>
      </c>
      <c r="E37">
        <v>18</v>
      </c>
    </row>
    <row r="38" spans="1:5" x14ac:dyDescent="0.25">
      <c r="A38">
        <v>20</v>
      </c>
      <c r="B38">
        <v>48419</v>
      </c>
      <c r="C38">
        <v>31</v>
      </c>
      <c r="D38">
        <v>4.9602154000000001</v>
      </c>
      <c r="E38">
        <v>3</v>
      </c>
    </row>
    <row r="39" spans="1:5" x14ac:dyDescent="0.25">
      <c r="A39">
        <v>54</v>
      </c>
      <c r="B39">
        <v>75015</v>
      </c>
      <c r="C39">
        <v>30</v>
      </c>
      <c r="D39">
        <v>1.5603360610000001</v>
      </c>
      <c r="E39">
        <v>1</v>
      </c>
    </row>
    <row r="40" spans="1:5" x14ac:dyDescent="0.25">
      <c r="A40">
        <v>24</v>
      </c>
      <c r="B40">
        <v>147096</v>
      </c>
      <c r="C40">
        <v>42</v>
      </c>
      <c r="D40">
        <v>3.0733186090000002</v>
      </c>
      <c r="E40">
        <v>1</v>
      </c>
    </row>
    <row r="41" spans="1:5" x14ac:dyDescent="0.25">
      <c r="A41">
        <v>38</v>
      </c>
      <c r="B41">
        <v>132059</v>
      </c>
      <c r="C41">
        <v>35</v>
      </c>
      <c r="D41">
        <v>4.5094922879999997</v>
      </c>
      <c r="E41">
        <v>19</v>
      </c>
    </row>
    <row r="42" spans="1:5" x14ac:dyDescent="0.25">
      <c r="A42">
        <v>26</v>
      </c>
      <c r="B42">
        <v>135687</v>
      </c>
      <c r="C42">
        <v>7</v>
      </c>
      <c r="D42">
        <v>3.9630744710000001</v>
      </c>
      <c r="E42">
        <v>11</v>
      </c>
    </row>
    <row r="43" spans="1:5" x14ac:dyDescent="0.25">
      <c r="A43">
        <v>56</v>
      </c>
      <c r="B43">
        <v>112939</v>
      </c>
      <c r="C43">
        <v>16</v>
      </c>
      <c r="D43">
        <v>3.7880629639999999</v>
      </c>
      <c r="E43">
        <v>5</v>
      </c>
    </row>
    <row r="44" spans="1:5" x14ac:dyDescent="0.25">
      <c r="A44">
        <v>35</v>
      </c>
      <c r="B44">
        <v>174213</v>
      </c>
      <c r="C44">
        <v>26</v>
      </c>
      <c r="D44">
        <v>3.8099363359999998</v>
      </c>
      <c r="E44">
        <v>12</v>
      </c>
    </row>
    <row r="45" spans="1:5" x14ac:dyDescent="0.25">
      <c r="A45">
        <v>21</v>
      </c>
      <c r="B45">
        <v>130878</v>
      </c>
      <c r="C45">
        <v>48</v>
      </c>
      <c r="D45">
        <v>2.4379646049999999</v>
      </c>
      <c r="E45">
        <v>3</v>
      </c>
    </row>
    <row r="46" spans="1:5" x14ac:dyDescent="0.25">
      <c r="A46">
        <v>42</v>
      </c>
      <c r="B46">
        <v>87623</v>
      </c>
      <c r="C46">
        <v>49</v>
      </c>
      <c r="D46">
        <v>2.1743673769999998</v>
      </c>
      <c r="E46">
        <v>1</v>
      </c>
    </row>
    <row r="47" spans="1:5" x14ac:dyDescent="0.25">
      <c r="A47">
        <v>31</v>
      </c>
      <c r="B47">
        <v>100450</v>
      </c>
      <c r="C47">
        <v>2</v>
      </c>
      <c r="D47">
        <v>4.2374446219999999</v>
      </c>
      <c r="E47">
        <v>1</v>
      </c>
    </row>
    <row r="48" spans="1:5" x14ac:dyDescent="0.25">
      <c r="A48">
        <v>26</v>
      </c>
      <c r="B48">
        <v>118426</v>
      </c>
      <c r="C48">
        <v>1</v>
      </c>
      <c r="D48">
        <v>4.2404535790000004</v>
      </c>
      <c r="E48">
        <v>8</v>
      </c>
    </row>
    <row r="49" spans="1:5" x14ac:dyDescent="0.25">
      <c r="A49">
        <v>43</v>
      </c>
      <c r="B49">
        <v>142845</v>
      </c>
      <c r="C49">
        <v>48</v>
      </c>
      <c r="D49">
        <v>4.468289274</v>
      </c>
      <c r="E49">
        <v>10</v>
      </c>
    </row>
    <row r="50" spans="1:5" x14ac:dyDescent="0.25">
      <c r="A50">
        <v>19</v>
      </c>
      <c r="B50">
        <v>178371</v>
      </c>
      <c r="C50">
        <v>12</v>
      </c>
      <c r="D50">
        <v>4.6529622100000001</v>
      </c>
      <c r="E50">
        <v>11</v>
      </c>
    </row>
    <row r="51" spans="1:5" x14ac:dyDescent="0.25">
      <c r="A51">
        <v>37</v>
      </c>
      <c r="B51">
        <v>68585</v>
      </c>
      <c r="C51">
        <v>5</v>
      </c>
      <c r="D51">
        <v>3.0453695949999999</v>
      </c>
      <c r="E51">
        <v>12</v>
      </c>
    </row>
    <row r="52" spans="1:5" x14ac:dyDescent="0.25">
      <c r="A52">
        <v>45</v>
      </c>
      <c r="B52">
        <v>134225</v>
      </c>
      <c r="C52">
        <v>37</v>
      </c>
      <c r="D52">
        <v>3.0060651790000001</v>
      </c>
      <c r="E52">
        <v>13</v>
      </c>
    </row>
    <row r="53" spans="1:5" x14ac:dyDescent="0.25">
      <c r="A53">
        <v>64</v>
      </c>
      <c r="B53">
        <v>89044</v>
      </c>
      <c r="C53">
        <v>32</v>
      </c>
      <c r="D53">
        <v>4.1931807159999996</v>
      </c>
      <c r="E53">
        <v>12</v>
      </c>
    </row>
    <row r="54" spans="1:5" x14ac:dyDescent="0.25">
      <c r="A54">
        <v>24</v>
      </c>
      <c r="B54">
        <v>134556</v>
      </c>
      <c r="C54">
        <v>9</v>
      </c>
      <c r="D54">
        <v>3.5998557230000001</v>
      </c>
      <c r="E54">
        <v>14</v>
      </c>
    </row>
    <row r="55" spans="1:5" x14ac:dyDescent="0.25">
      <c r="A55">
        <v>61</v>
      </c>
      <c r="B55">
        <v>27693</v>
      </c>
      <c r="C55">
        <v>41</v>
      </c>
      <c r="D55">
        <v>3.8078675089999998</v>
      </c>
      <c r="E55">
        <v>2</v>
      </c>
    </row>
    <row r="56" spans="1:5" x14ac:dyDescent="0.25">
      <c r="A56">
        <v>25</v>
      </c>
      <c r="B56">
        <v>120259</v>
      </c>
      <c r="C56">
        <v>35</v>
      </c>
      <c r="D56">
        <v>4.1831706779999998</v>
      </c>
      <c r="E56">
        <v>19</v>
      </c>
    </row>
    <row r="57" spans="1:5" x14ac:dyDescent="0.25">
      <c r="A57">
        <v>64</v>
      </c>
      <c r="B57">
        <v>50939</v>
      </c>
      <c r="C57">
        <v>19</v>
      </c>
      <c r="D57">
        <v>4.560021367</v>
      </c>
      <c r="E57">
        <v>18</v>
      </c>
    </row>
    <row r="58" spans="1:5" x14ac:dyDescent="0.25">
      <c r="A58">
        <v>52</v>
      </c>
      <c r="B58">
        <v>177906</v>
      </c>
      <c r="C58">
        <v>48</v>
      </c>
      <c r="D58">
        <v>2.3519806270000001</v>
      </c>
      <c r="E58">
        <v>3</v>
      </c>
    </row>
    <row r="59" spans="1:5" x14ac:dyDescent="0.25">
      <c r="A59">
        <v>31</v>
      </c>
      <c r="B59">
        <v>43047</v>
      </c>
      <c r="C59">
        <v>16</v>
      </c>
      <c r="D59">
        <v>2.5023318109999999</v>
      </c>
      <c r="E59">
        <v>17</v>
      </c>
    </row>
    <row r="60" spans="1:5" x14ac:dyDescent="0.25">
      <c r="A60">
        <v>34</v>
      </c>
      <c r="B60">
        <v>51105</v>
      </c>
      <c r="C60">
        <v>3</v>
      </c>
      <c r="D60">
        <v>1.3759277590000001</v>
      </c>
      <c r="E60">
        <v>8</v>
      </c>
    </row>
    <row r="61" spans="1:5" x14ac:dyDescent="0.25">
      <c r="A61">
        <v>53</v>
      </c>
      <c r="B61">
        <v>100766</v>
      </c>
      <c r="C61">
        <v>20</v>
      </c>
      <c r="D61">
        <v>3.3131205640000001</v>
      </c>
      <c r="E61">
        <v>10</v>
      </c>
    </row>
    <row r="62" spans="1:5" x14ac:dyDescent="0.25">
      <c r="A62">
        <v>57</v>
      </c>
      <c r="B62">
        <v>171779</v>
      </c>
      <c r="C62">
        <v>24</v>
      </c>
      <c r="D62">
        <v>1.1437690949999999</v>
      </c>
      <c r="E62">
        <v>2</v>
      </c>
    </row>
    <row r="63" spans="1:5" x14ac:dyDescent="0.25">
      <c r="A63">
        <v>21</v>
      </c>
      <c r="B63">
        <v>178048</v>
      </c>
      <c r="C63">
        <v>33</v>
      </c>
      <c r="D63">
        <v>2.8623920730000001</v>
      </c>
      <c r="E63">
        <v>19</v>
      </c>
    </row>
    <row r="64" spans="1:5" x14ac:dyDescent="0.25">
      <c r="A64">
        <v>19</v>
      </c>
      <c r="B64">
        <v>69262</v>
      </c>
      <c r="C64">
        <v>24</v>
      </c>
      <c r="D64">
        <v>3.1705785390000001</v>
      </c>
      <c r="E64">
        <v>9</v>
      </c>
    </row>
    <row r="65" spans="1:5" x14ac:dyDescent="0.25">
      <c r="A65">
        <v>23</v>
      </c>
      <c r="B65">
        <v>150117</v>
      </c>
      <c r="C65">
        <v>11</v>
      </c>
      <c r="D65">
        <v>2.1461650090000002</v>
      </c>
      <c r="E65">
        <v>7</v>
      </c>
    </row>
    <row r="66" spans="1:5" x14ac:dyDescent="0.25">
      <c r="A66">
        <v>59</v>
      </c>
      <c r="B66">
        <v>48776</v>
      </c>
      <c r="C66">
        <v>49</v>
      </c>
      <c r="D66">
        <v>3.3633330419999998</v>
      </c>
      <c r="E66">
        <v>4</v>
      </c>
    </row>
    <row r="67" spans="1:5" x14ac:dyDescent="0.25">
      <c r="A67">
        <v>21</v>
      </c>
      <c r="B67">
        <v>153376</v>
      </c>
      <c r="C67">
        <v>8</v>
      </c>
      <c r="D67">
        <v>1.122001</v>
      </c>
      <c r="E67">
        <v>18</v>
      </c>
    </row>
    <row r="68" spans="1:5" x14ac:dyDescent="0.25">
      <c r="A68">
        <v>46</v>
      </c>
      <c r="B68">
        <v>162848</v>
      </c>
      <c r="C68">
        <v>36</v>
      </c>
      <c r="D68">
        <v>1.149392755</v>
      </c>
      <c r="E68">
        <v>13</v>
      </c>
    </row>
    <row r="69" spans="1:5" x14ac:dyDescent="0.25">
      <c r="A69">
        <v>35</v>
      </c>
      <c r="B69">
        <v>117787</v>
      </c>
      <c r="C69">
        <v>38</v>
      </c>
      <c r="D69">
        <v>4.2904022429999999</v>
      </c>
      <c r="E69">
        <v>11</v>
      </c>
    </row>
    <row r="70" spans="1:5" x14ac:dyDescent="0.25">
      <c r="A70">
        <v>43</v>
      </c>
      <c r="B70">
        <v>152948</v>
      </c>
      <c r="C70">
        <v>40</v>
      </c>
      <c r="D70">
        <v>2.4407625660000001</v>
      </c>
      <c r="E70">
        <v>4</v>
      </c>
    </row>
    <row r="71" spans="1:5" x14ac:dyDescent="0.25">
      <c r="A71">
        <v>61</v>
      </c>
      <c r="B71">
        <v>80016</v>
      </c>
      <c r="C71">
        <v>20</v>
      </c>
      <c r="D71">
        <v>1.5082420510000001</v>
      </c>
      <c r="E71">
        <v>4</v>
      </c>
    </row>
    <row r="72" spans="1:5" x14ac:dyDescent="0.25">
      <c r="A72">
        <v>51</v>
      </c>
      <c r="B72">
        <v>165546</v>
      </c>
      <c r="C72">
        <v>35</v>
      </c>
      <c r="D72">
        <v>3.0889730399999999</v>
      </c>
      <c r="E72">
        <v>10</v>
      </c>
    </row>
    <row r="73" spans="1:5" x14ac:dyDescent="0.25">
      <c r="A73">
        <v>27</v>
      </c>
      <c r="B73">
        <v>46959</v>
      </c>
      <c r="C73">
        <v>48</v>
      </c>
      <c r="D73">
        <v>4.0799742119999998</v>
      </c>
      <c r="E73">
        <v>5</v>
      </c>
    </row>
    <row r="74" spans="1:5" x14ac:dyDescent="0.25">
      <c r="A74">
        <v>53</v>
      </c>
      <c r="B74">
        <v>161602</v>
      </c>
      <c r="C74">
        <v>25</v>
      </c>
      <c r="D74">
        <v>1.8632841099999999</v>
      </c>
      <c r="E74">
        <v>9</v>
      </c>
    </row>
    <row r="75" spans="1:5" x14ac:dyDescent="0.25">
      <c r="A75">
        <v>31</v>
      </c>
      <c r="B75">
        <v>144101</v>
      </c>
      <c r="C75">
        <v>35</v>
      </c>
      <c r="D75">
        <v>3.491561903</v>
      </c>
      <c r="E75">
        <v>3</v>
      </c>
    </row>
    <row r="76" spans="1:5" x14ac:dyDescent="0.25">
      <c r="A76">
        <v>48</v>
      </c>
      <c r="B76">
        <v>28748</v>
      </c>
      <c r="C76">
        <v>25</v>
      </c>
      <c r="D76">
        <v>1.34138986</v>
      </c>
      <c r="E76">
        <v>17</v>
      </c>
    </row>
    <row r="77" spans="1:5" x14ac:dyDescent="0.25">
      <c r="A77">
        <v>32</v>
      </c>
      <c r="B77">
        <v>38545</v>
      </c>
      <c r="C77">
        <v>29</v>
      </c>
      <c r="D77">
        <v>1.2067268849999999</v>
      </c>
      <c r="E77">
        <v>3</v>
      </c>
    </row>
    <row r="78" spans="1:5" x14ac:dyDescent="0.25">
      <c r="A78">
        <v>25</v>
      </c>
      <c r="B78">
        <v>152659</v>
      </c>
      <c r="C78">
        <v>18</v>
      </c>
      <c r="D78">
        <v>3.1254185259999998</v>
      </c>
      <c r="E78">
        <v>16</v>
      </c>
    </row>
    <row r="79" spans="1:5" x14ac:dyDescent="0.25">
      <c r="A79">
        <v>31</v>
      </c>
      <c r="B79">
        <v>98530</v>
      </c>
      <c r="C79">
        <v>46</v>
      </c>
      <c r="D79">
        <v>3.1625404860000002</v>
      </c>
      <c r="E79">
        <v>4</v>
      </c>
    </row>
    <row r="80" spans="1:5" x14ac:dyDescent="0.25">
      <c r="A80">
        <v>40</v>
      </c>
      <c r="B80">
        <v>118557</v>
      </c>
      <c r="C80">
        <v>18</v>
      </c>
      <c r="D80">
        <v>3.549719606</v>
      </c>
      <c r="E80">
        <v>18</v>
      </c>
    </row>
    <row r="81" spans="1:213" x14ac:dyDescent="0.25">
      <c r="A81">
        <v>57</v>
      </c>
      <c r="B81">
        <v>86087</v>
      </c>
      <c r="C81">
        <v>2</v>
      </c>
      <c r="D81">
        <v>3.904365335</v>
      </c>
      <c r="E81">
        <v>17</v>
      </c>
    </row>
    <row r="82" spans="1:213" x14ac:dyDescent="0.25">
      <c r="A82">
        <v>38</v>
      </c>
      <c r="B82">
        <v>93840</v>
      </c>
      <c r="C82">
        <v>35</v>
      </c>
      <c r="D82">
        <v>4.9034083180000003</v>
      </c>
      <c r="E82">
        <v>7</v>
      </c>
    </row>
    <row r="83" spans="1:213" x14ac:dyDescent="0.25">
      <c r="A83">
        <v>33</v>
      </c>
      <c r="B83">
        <v>143451</v>
      </c>
      <c r="C83">
        <v>16</v>
      </c>
      <c r="D83">
        <v>3.0652013930000002</v>
      </c>
      <c r="E83">
        <v>5</v>
      </c>
    </row>
    <row r="84" spans="1:213" x14ac:dyDescent="0.25">
      <c r="A84">
        <v>62</v>
      </c>
      <c r="B84">
        <v>76005</v>
      </c>
      <c r="C84">
        <v>41</v>
      </c>
      <c r="D84">
        <v>2.2918258919999999</v>
      </c>
      <c r="E84">
        <v>12</v>
      </c>
    </row>
    <row r="85" spans="1:213" x14ac:dyDescent="0.25">
      <c r="A85">
        <v>35</v>
      </c>
      <c r="B85">
        <v>64353</v>
      </c>
      <c r="C85">
        <v>36</v>
      </c>
      <c r="D85">
        <v>4.1807447790000003</v>
      </c>
      <c r="E85">
        <v>17</v>
      </c>
    </row>
    <row r="86" spans="1:213" x14ac:dyDescent="0.25">
      <c r="A86">
        <v>64</v>
      </c>
      <c r="B86">
        <v>77733</v>
      </c>
      <c r="C86">
        <v>33</v>
      </c>
      <c r="D86">
        <v>2.083329005</v>
      </c>
      <c r="E86">
        <v>13</v>
      </c>
      <c r="HE86">
        <v>123506</v>
      </c>
    </row>
    <row r="87" spans="1:213" x14ac:dyDescent="0.25">
      <c r="A87">
        <v>41</v>
      </c>
      <c r="B87">
        <v>90318</v>
      </c>
      <c r="C87">
        <v>4</v>
      </c>
      <c r="D87">
        <v>2.7558856829999998</v>
      </c>
      <c r="E87">
        <v>3</v>
      </c>
      <c r="HE87">
        <v>0</v>
      </c>
    </row>
    <row r="88" spans="1:213" x14ac:dyDescent="0.25">
      <c r="A88">
        <v>43</v>
      </c>
      <c r="B88">
        <v>179736</v>
      </c>
      <c r="C88">
        <v>33</v>
      </c>
      <c r="D88">
        <v>1.3138255249999999</v>
      </c>
      <c r="E88">
        <v>9</v>
      </c>
      <c r="HE88">
        <v>123506</v>
      </c>
    </row>
    <row r="89" spans="1:213" x14ac:dyDescent="0.25">
      <c r="A89">
        <v>42</v>
      </c>
      <c r="B89">
        <v>92172</v>
      </c>
      <c r="C89">
        <v>14</v>
      </c>
      <c r="D89">
        <v>1.101402974</v>
      </c>
      <c r="E89">
        <v>17</v>
      </c>
      <c r="HE89" t="e">
        <v>#N/A</v>
      </c>
    </row>
    <row r="90" spans="1:213" x14ac:dyDescent="0.25">
      <c r="A90">
        <v>62</v>
      </c>
      <c r="B90">
        <v>118264</v>
      </c>
      <c r="C90">
        <v>21</v>
      </c>
      <c r="D90">
        <v>4.8505936590000003</v>
      </c>
      <c r="E90">
        <v>17</v>
      </c>
      <c r="HE90" t="e">
        <v>#DIV/0!</v>
      </c>
    </row>
    <row r="91" spans="1:213" x14ac:dyDescent="0.25">
      <c r="A91">
        <v>58</v>
      </c>
      <c r="B91">
        <v>51736</v>
      </c>
      <c r="C91">
        <v>48</v>
      </c>
      <c r="D91">
        <v>4.3439204819999997</v>
      </c>
      <c r="E91">
        <v>16</v>
      </c>
      <c r="HE91" t="e">
        <v>#DIV/0!</v>
      </c>
    </row>
    <row r="92" spans="1:213" x14ac:dyDescent="0.25">
      <c r="A92">
        <v>46</v>
      </c>
      <c r="B92">
        <v>137859</v>
      </c>
      <c r="C92">
        <v>20</v>
      </c>
      <c r="D92">
        <v>3.7838968240000002</v>
      </c>
      <c r="E92">
        <v>13</v>
      </c>
      <c r="HE92" t="e">
        <v>#DIV/0!</v>
      </c>
    </row>
    <row r="93" spans="1:213" x14ac:dyDescent="0.25">
      <c r="A93">
        <v>32</v>
      </c>
      <c r="B93">
        <v>137181</v>
      </c>
      <c r="C93">
        <v>8</v>
      </c>
      <c r="D93">
        <v>2.6358117779999999</v>
      </c>
      <c r="E93">
        <v>19</v>
      </c>
      <c r="HE93" t="e">
        <v>#DIV/0!</v>
      </c>
    </row>
    <row r="94" spans="1:213" x14ac:dyDescent="0.25">
      <c r="A94">
        <v>62</v>
      </c>
      <c r="B94">
        <v>156926</v>
      </c>
      <c r="C94">
        <v>7</v>
      </c>
      <c r="D94">
        <v>1.69317728</v>
      </c>
      <c r="E94">
        <v>17</v>
      </c>
      <c r="HE94">
        <v>0</v>
      </c>
    </row>
    <row r="95" spans="1:213" x14ac:dyDescent="0.25">
      <c r="A95">
        <v>18</v>
      </c>
      <c r="B95">
        <v>115084</v>
      </c>
      <c r="C95">
        <v>3</v>
      </c>
      <c r="D95">
        <v>1.6257481709999999</v>
      </c>
      <c r="E95">
        <v>4</v>
      </c>
      <c r="HE95">
        <v>123506</v>
      </c>
    </row>
    <row r="96" spans="1:213" x14ac:dyDescent="0.25">
      <c r="A96">
        <v>42</v>
      </c>
      <c r="B96">
        <v>32392</v>
      </c>
      <c r="C96">
        <v>17</v>
      </c>
      <c r="D96">
        <v>2.000971593</v>
      </c>
      <c r="E96">
        <v>12</v>
      </c>
      <c r="HE96">
        <v>123506</v>
      </c>
    </row>
    <row r="97" spans="1:213" x14ac:dyDescent="0.25">
      <c r="A97">
        <v>24</v>
      </c>
      <c r="B97">
        <v>80680</v>
      </c>
      <c r="C97">
        <v>33</v>
      </c>
      <c r="D97">
        <v>3.1969066590000002</v>
      </c>
      <c r="E97">
        <v>9</v>
      </c>
      <c r="HE97">
        <v>123506</v>
      </c>
    </row>
    <row r="98" spans="1:213" x14ac:dyDescent="0.25">
      <c r="A98">
        <v>26</v>
      </c>
      <c r="B98">
        <v>75859</v>
      </c>
      <c r="C98">
        <v>48</v>
      </c>
      <c r="D98">
        <v>3.8583836909999998</v>
      </c>
      <c r="E98">
        <v>19</v>
      </c>
      <c r="HE98">
        <v>1</v>
      </c>
    </row>
    <row r="99" spans="1:213" x14ac:dyDescent="0.25">
      <c r="A99">
        <v>41</v>
      </c>
      <c r="B99">
        <v>150657</v>
      </c>
      <c r="C99">
        <v>12</v>
      </c>
      <c r="D99">
        <v>3.640789507</v>
      </c>
      <c r="E99">
        <v>12</v>
      </c>
    </row>
    <row r="100" spans="1:213" x14ac:dyDescent="0.25">
      <c r="A100">
        <v>18</v>
      </c>
      <c r="B100">
        <v>95467</v>
      </c>
      <c r="C100">
        <v>22</v>
      </c>
      <c r="D100">
        <v>2.1197355880000002</v>
      </c>
      <c r="E100">
        <v>9</v>
      </c>
    </row>
    <row r="101" spans="1:213" x14ac:dyDescent="0.25">
      <c r="A101">
        <v>61</v>
      </c>
      <c r="B101">
        <v>123506</v>
      </c>
      <c r="C101">
        <v>22</v>
      </c>
      <c r="D101">
        <v>4.819461123</v>
      </c>
      <c r="E10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194C-FF94-451C-96E5-5FF7C1274711}">
  <dimension ref="A2:H214"/>
  <sheetViews>
    <sheetView workbookViewId="0">
      <selection activeCell="E16" sqref="E16"/>
    </sheetView>
  </sheetViews>
  <sheetFormatPr defaultColWidth="9.28515625" defaultRowHeight="15" x14ac:dyDescent="0.25"/>
  <cols>
    <col min="1" max="1" width="8.42578125" bestFit="1" customWidth="1"/>
    <col min="2" max="2" width="19.7109375" bestFit="1" customWidth="1"/>
    <col min="3" max="3" width="12.7109375" bestFit="1" customWidth="1"/>
    <col min="4" max="4" width="15.42578125" bestFit="1" customWidth="1"/>
    <col min="5" max="5" width="17.42578125" bestFit="1" customWidth="1"/>
    <col min="6" max="6" width="17.85546875" bestFit="1" customWidth="1"/>
    <col min="7" max="7" width="15.42578125" bestFit="1" customWidth="1"/>
  </cols>
  <sheetData>
    <row r="2" spans="1:8" x14ac:dyDescent="0.25">
      <c r="A2" s="3" t="s">
        <v>6</v>
      </c>
      <c r="B2" s="4" t="s">
        <v>7</v>
      </c>
      <c r="C2" s="4"/>
      <c r="D2" s="4"/>
      <c r="E2" s="4"/>
      <c r="F2" s="4"/>
      <c r="G2" s="4"/>
      <c r="H2" s="4"/>
    </row>
    <row r="3" spans="1:8" x14ac:dyDescent="0.25">
      <c r="A3" s="3" t="s">
        <v>8</v>
      </c>
    </row>
    <row r="4" spans="1:8" x14ac:dyDescent="0.25">
      <c r="B4" s="7" t="s">
        <v>9</v>
      </c>
      <c r="C4" s="6">
        <f>AVERAGE('Assignment_Data7 to 10'!A2:A101)</f>
        <v>40.880000000000003</v>
      </c>
    </row>
    <row r="5" spans="1:8" x14ac:dyDescent="0.25">
      <c r="B5" s="7" t="s">
        <v>10</v>
      </c>
      <c r="C5" s="6">
        <f>MEDIAN('Assignment_Data7 to 10'!A2:A101)</f>
        <v>41</v>
      </c>
    </row>
    <row r="6" spans="1:8" x14ac:dyDescent="0.25">
      <c r="B6" s="7" t="s">
        <v>11</v>
      </c>
      <c r="C6" s="6">
        <f>MODE('Assignment_Data7 to 10'!A2:A101)</f>
        <v>61</v>
      </c>
    </row>
    <row r="8" spans="1:8" x14ac:dyDescent="0.25">
      <c r="A8" s="3" t="s">
        <v>17</v>
      </c>
      <c r="B8" s="4" t="s">
        <v>18</v>
      </c>
      <c r="C8" s="4"/>
      <c r="D8" s="4"/>
      <c r="E8" s="4"/>
      <c r="F8" s="4"/>
    </row>
    <row r="10" spans="1:8" ht="30" x14ac:dyDescent="0.25">
      <c r="B10" s="8" t="s">
        <v>12</v>
      </c>
      <c r="C10" s="6">
        <f>_xlfn.STDEV.S('Assignment_Data7 to 10'!B2:B101)</f>
        <v>44418.086324573604</v>
      </c>
    </row>
    <row r="11" spans="1:8" x14ac:dyDescent="0.25">
      <c r="B11" s="7" t="s">
        <v>19</v>
      </c>
      <c r="C11" s="6">
        <f>_xlfn.VAR.S('Assignment_Data7 to 10'!B2:B101)</f>
        <v>1972966392.7372727</v>
      </c>
    </row>
    <row r="14" spans="1:8" x14ac:dyDescent="0.25">
      <c r="A14" s="3" t="s">
        <v>20</v>
      </c>
      <c r="B14" s="2" t="s">
        <v>21</v>
      </c>
      <c r="C14" s="2"/>
      <c r="D14" s="2"/>
      <c r="E14" s="2"/>
      <c r="F14" s="2"/>
    </row>
    <row r="16" spans="1:8" x14ac:dyDescent="0.25">
      <c r="B16" s="7" t="s">
        <v>14</v>
      </c>
      <c r="C16" s="6">
        <f>SKEW('Assignment_Data7 to 10'!C2:C101)</f>
        <v>4.8663601904092149E-2</v>
      </c>
    </row>
    <row r="17" spans="1:6" x14ac:dyDescent="0.25">
      <c r="B17" s="7" t="s">
        <v>13</v>
      </c>
      <c r="C17" s="6">
        <f>KURT('Assignment_Data7 to 10'!C2:C101)</f>
        <v>-1.055159061973828</v>
      </c>
    </row>
    <row r="20" spans="1:6" x14ac:dyDescent="0.25">
      <c r="A20" s="3" t="s">
        <v>22</v>
      </c>
      <c r="B20" s="2" t="s">
        <v>23</v>
      </c>
      <c r="C20" s="2"/>
      <c r="D20" s="2"/>
      <c r="E20" s="2"/>
      <c r="F20" s="2"/>
    </row>
    <row r="22" spans="1:6" x14ac:dyDescent="0.25">
      <c r="B22" s="7" t="s">
        <v>24</v>
      </c>
      <c r="C22" s="6">
        <f>CORREL('Assignment_Data7 to 10'!B2:B101,'Assignment_Data7 to 10'!D2:D101)</f>
        <v>-0.14789962225679215</v>
      </c>
    </row>
    <row r="25" spans="1:6" s="10" customFormat="1" ht="33.75" customHeight="1" x14ac:dyDescent="0.25">
      <c r="A25" s="14" t="s">
        <v>25</v>
      </c>
      <c r="B25" s="11" t="s">
        <v>26</v>
      </c>
      <c r="C25" s="11"/>
      <c r="D25" s="11"/>
      <c r="E25" s="11"/>
      <c r="F25" s="11"/>
    </row>
    <row r="27" spans="1:6" x14ac:dyDescent="0.25">
      <c r="A27" s="6"/>
      <c r="B27" s="7" t="s">
        <v>0</v>
      </c>
      <c r="C27" s="7" t="s">
        <v>1</v>
      </c>
      <c r="D27" s="7" t="s">
        <v>2</v>
      </c>
      <c r="E27" s="7" t="s">
        <v>3</v>
      </c>
      <c r="F27" s="7" t="s">
        <v>4</v>
      </c>
    </row>
    <row r="28" spans="1:6" x14ac:dyDescent="0.25">
      <c r="A28" s="7" t="s">
        <v>16</v>
      </c>
      <c r="B28" s="6">
        <f>COUNT('Assignment_Data7 to 10'!A2:A101)</f>
        <v>100</v>
      </c>
      <c r="C28" s="6">
        <f>COUNT('Assignment_Data7 to 10'!B2:B101)</f>
        <v>100</v>
      </c>
      <c r="D28" s="6">
        <f>COUNT('Assignment_Data7 to 10'!C2:C101)</f>
        <v>100</v>
      </c>
      <c r="E28" s="6">
        <f>COUNT('Assignment_Data7 to 10'!D2:D101)</f>
        <v>100</v>
      </c>
      <c r="F28" s="6">
        <f>COUNT('Assignment_Data7 to 10'!E2:E101)</f>
        <v>100</v>
      </c>
    </row>
    <row r="29" spans="1:6" x14ac:dyDescent="0.25">
      <c r="A29" s="7" t="s">
        <v>9</v>
      </c>
      <c r="B29" s="6">
        <f>AVERAGE('Assignment_Data7 to 10'!A2:A101)</f>
        <v>40.880000000000003</v>
      </c>
      <c r="C29" s="6">
        <f>AVERAGE('Assignment_Data7 to 10'!B2:B101)</f>
        <v>109321.51</v>
      </c>
      <c r="D29" s="6">
        <f>AVERAGE('Assignment_Data7 to 10'!C2:C101)</f>
        <v>24.47</v>
      </c>
      <c r="E29" s="6">
        <f>AVERAGE('Assignment_Data7 to 10'!D2:D101)</f>
        <v>3.1156903460299987</v>
      </c>
      <c r="F29" s="6">
        <f>AVERAGE('Assignment_Data7 to 10'!E2:E101)</f>
        <v>9.9600000000000009</v>
      </c>
    </row>
    <row r="30" spans="1:6" x14ac:dyDescent="0.25">
      <c r="A30" s="7" t="s">
        <v>27</v>
      </c>
      <c r="B30" s="6">
        <f>_xlfn.STDEV.S('Assignment_Data7 to 10'!A2:A101)</f>
        <v>13.990819500766575</v>
      </c>
      <c r="C30" s="6">
        <f>_xlfn.STDEV.S('Assignment_Data7 to 10'!B2:B101)</f>
        <v>44418.086324573604</v>
      </c>
      <c r="D30" s="6">
        <f>_xlfn.STDEV.S('Assignment_Data7 to 10'!C2:C101)</f>
        <v>13.994555218283137</v>
      </c>
      <c r="E30" s="6">
        <f>_xlfn.STDEV.S('Assignment_Data7 to 10'!D2:D101)</f>
        <v>1.1636023797359256</v>
      </c>
      <c r="F30" s="6">
        <f>_xlfn.STDEV.S('Assignment_Data7 to 10'!E2:E101)</f>
        <v>5.8204099269013447</v>
      </c>
    </row>
    <row r="31" spans="1:6" x14ac:dyDescent="0.25">
      <c r="A31" s="7" t="s">
        <v>28</v>
      </c>
      <c r="B31" s="6">
        <f>MIN('Assignment_Data7 to 10'!A2:A101)</f>
        <v>18</v>
      </c>
      <c r="C31" s="6">
        <f>MIN('Assignment_Data7 to 10'!B2:B101)</f>
        <v>27693</v>
      </c>
      <c r="D31" s="6">
        <f>MIN('Assignment_Data7 to 10'!C2:C101)</f>
        <v>1</v>
      </c>
      <c r="E31" s="6">
        <f>MIN('Assignment_Data7 to 10'!D2:D101)</f>
        <v>1.0618264660000001</v>
      </c>
      <c r="F31" s="6">
        <f>MIN('Assignment_Data7 to 10'!E2:E101)</f>
        <v>1</v>
      </c>
    </row>
    <row r="32" spans="1:6" x14ac:dyDescent="0.25">
      <c r="A32" s="13">
        <v>0.25</v>
      </c>
      <c r="B32" s="6">
        <f>_xlfn.QUARTILE.INC('Assignment_Data7 to 10'!A2:A101,1)</f>
        <v>30.5</v>
      </c>
      <c r="C32" s="6">
        <f>_xlfn.QUARTILE.INC('Assignment_Data7 to 10'!B2:B101,1)</f>
        <v>73576.75</v>
      </c>
      <c r="D32" s="6">
        <f>_xlfn.QUARTILE.INC('Assignment_Data7 to 10'!C2:C101,1)</f>
        <v>13.5</v>
      </c>
      <c r="E32" s="6">
        <f>_xlfn.QUARTILE.INC('Assignment_Data7 to 10'!D2:D101,1)</f>
        <v>2.1673167849999997</v>
      </c>
      <c r="F32" s="6">
        <f>_xlfn.QUARTILE.INC('Assignment_Data7 to 10'!E2:E101,1)</f>
        <v>4.75</v>
      </c>
    </row>
    <row r="33" spans="1:6" x14ac:dyDescent="0.25">
      <c r="A33" s="13">
        <v>0.5</v>
      </c>
      <c r="B33" s="6">
        <f>_xlfn.QUARTILE.INC('Assignment_Data7 to 10'!A2:A101,2)</f>
        <v>41</v>
      </c>
      <c r="C33" s="6">
        <f>_xlfn.QUARTILE.INC('Assignment_Data7 to 10'!B2:B101,2)</f>
        <v>118025.5</v>
      </c>
      <c r="D33" s="6">
        <f>_xlfn.QUARTILE.INC('Assignment_Data7 to 10'!C2:C101,2)</f>
        <v>24</v>
      </c>
      <c r="E33" s="6">
        <f>_xlfn.QUARTILE.INC('Assignment_Data7 to 10'!D2:D101,2)</f>
        <v>3.1665595125000001</v>
      </c>
      <c r="F33" s="6">
        <f>_xlfn.QUARTILE.INC('Assignment_Data7 to 10'!E2:E101,2)</f>
        <v>10</v>
      </c>
    </row>
    <row r="34" spans="1:6" x14ac:dyDescent="0.25">
      <c r="A34" s="13">
        <v>0.75</v>
      </c>
      <c r="B34" s="6">
        <f>_xlfn.QUARTILE.INC('Assignment_Data7 to 10'!A2:A101,3)</f>
        <v>53.25</v>
      </c>
      <c r="C34" s="6">
        <f>_xlfn.QUARTILE.INC('Assignment_Data7 to 10'!B2:B101,3)</f>
        <v>147727.75</v>
      </c>
      <c r="D34" s="6">
        <f>_xlfn.QUARTILE.INC('Assignment_Data7 to 10'!C2:C101,3)</f>
        <v>35</v>
      </c>
      <c r="E34" s="6">
        <f>_xlfn.QUARTILE.INC('Assignment_Data7 to 10'!D2:D101,3)</f>
        <v>4.1796201052499997</v>
      </c>
      <c r="F34" s="6">
        <f>_xlfn.QUARTILE.INC('Assignment_Data7 to 10'!E2:E101,3)</f>
        <v>16</v>
      </c>
    </row>
    <row r="35" spans="1:6" x14ac:dyDescent="0.25">
      <c r="A35" s="7" t="s">
        <v>29</v>
      </c>
      <c r="B35" s="6">
        <f>_xlfn.QUARTILE.INC('Assignment_Data7 to 10'!A2:A101,4)</f>
        <v>64</v>
      </c>
      <c r="C35" s="6">
        <f>_xlfn.QUARTILE.INC('Assignment_Data7 to 10'!B2:B101,4)</f>
        <v>179736</v>
      </c>
      <c r="D35" s="6">
        <f>_xlfn.QUARTILE.INC('Assignment_Data7 to 10'!C2:C101,4)</f>
        <v>49</v>
      </c>
      <c r="E35" s="6">
        <f>_xlfn.QUARTILE.INC('Assignment_Data7 to 10'!D2:D101,4)</f>
        <v>4.9602154000000001</v>
      </c>
      <c r="F35" s="6">
        <f>_xlfn.QUARTILE.INC('Assignment_Data7 to 10'!E2:E101,4)</f>
        <v>19</v>
      </c>
    </row>
    <row r="38" spans="1:6" x14ac:dyDescent="0.25">
      <c r="A38" s="3" t="s">
        <v>30</v>
      </c>
      <c r="B38" s="2" t="s">
        <v>31</v>
      </c>
      <c r="C38" s="2"/>
      <c r="D38" s="2"/>
      <c r="E38" s="2"/>
      <c r="F38" s="2"/>
    </row>
    <row r="55" spans="1:6" x14ac:dyDescent="0.25">
      <c r="B55" t="s">
        <v>32</v>
      </c>
      <c r="C55" s="1" t="s">
        <v>33</v>
      </c>
      <c r="D55" s="1"/>
      <c r="E55" s="1"/>
    </row>
    <row r="58" spans="1:6" x14ac:dyDescent="0.25">
      <c r="A58" s="12" t="s">
        <v>35</v>
      </c>
      <c r="B58" s="38" t="s">
        <v>34</v>
      </c>
      <c r="C58" s="38"/>
      <c r="D58" s="38"/>
      <c r="E58" s="38"/>
      <c r="F58" s="38"/>
    </row>
    <row r="59" spans="1:6" ht="15.75" thickBot="1" x14ac:dyDescent="0.3"/>
    <row r="60" spans="1:6" ht="15.75" thickBot="1" x14ac:dyDescent="0.3">
      <c r="B60" s="40" t="s">
        <v>9</v>
      </c>
      <c r="C60" s="39">
        <f>AVERAGE('Assignment_Data7 to 10'!D2:D101)</f>
        <v>3.1156903460299987</v>
      </c>
      <c r="E60" s="15" t="s">
        <v>38</v>
      </c>
      <c r="F60" s="16" t="s">
        <v>37</v>
      </c>
    </row>
    <row r="61" spans="1:6" ht="15.75" thickBot="1" x14ac:dyDescent="0.3">
      <c r="B61" s="40" t="s">
        <v>27</v>
      </c>
      <c r="C61" s="41">
        <f>_xlfn.STDEV.S('Assignment_Data7 to 10'!D2:D101)</f>
        <v>1.1636023797359256</v>
      </c>
      <c r="E61" s="6">
        <f>C60/3</f>
        <v>1.0385634486766662</v>
      </c>
      <c r="F61" s="17" t="b">
        <f>C61&gt;E61</f>
        <v>1</v>
      </c>
    </row>
    <row r="63" spans="1:6" ht="39.75" customHeight="1" x14ac:dyDescent="0.25">
      <c r="B63" s="18" t="s">
        <v>36</v>
      </c>
      <c r="C63" s="18"/>
      <c r="D63" s="18"/>
      <c r="E63" s="18"/>
      <c r="F63" s="18"/>
    </row>
    <row r="66" spans="1:6" ht="19.5" customHeight="1" x14ac:dyDescent="0.25">
      <c r="A66" s="14" t="s">
        <v>39</v>
      </c>
      <c r="B66" s="11" t="s">
        <v>40</v>
      </c>
      <c r="C66" s="19"/>
      <c r="D66" s="19"/>
      <c r="E66" s="19"/>
      <c r="F66" s="19"/>
    </row>
    <row r="67" spans="1:6" ht="15.75" thickBot="1" x14ac:dyDescent="0.3"/>
    <row r="68" spans="1:6" x14ac:dyDescent="0.25">
      <c r="B68" s="20" t="s">
        <v>41</v>
      </c>
      <c r="C68" s="21">
        <f>_xlfn.STDEV.S('Assignment_Data7 to 10'!B2:B101)</f>
        <v>44418.086324573604</v>
      </c>
    </row>
    <row r="69" spans="1:6" ht="15.75" thickBot="1" x14ac:dyDescent="0.3">
      <c r="B69" s="22" t="s">
        <v>42</v>
      </c>
      <c r="C69" s="23">
        <f>AVERAGE('Assignment_Data7 to 10'!B2:B101)</f>
        <v>109321.51</v>
      </c>
    </row>
    <row r="70" spans="1:6" ht="15.75" thickBot="1" x14ac:dyDescent="0.3"/>
    <row r="71" spans="1:6" ht="15.75" thickBot="1" x14ac:dyDescent="0.3">
      <c r="B71" s="24" t="s">
        <v>43</v>
      </c>
      <c r="C71" s="25">
        <f>C68/C69</f>
        <v>0.40630692280570957</v>
      </c>
    </row>
    <row r="74" spans="1:6" x14ac:dyDescent="0.25">
      <c r="A74" t="s">
        <v>44</v>
      </c>
      <c r="B74" s="2" t="s">
        <v>45</v>
      </c>
      <c r="C74" s="2"/>
      <c r="D74" s="2"/>
      <c r="E74" s="2"/>
      <c r="F74" s="2"/>
    </row>
    <row r="75" spans="1:6" ht="15.75" thickBot="1" x14ac:dyDescent="0.3"/>
    <row r="76" spans="1:6" ht="15.75" thickBot="1" x14ac:dyDescent="0.3">
      <c r="B76" s="26" t="s">
        <v>46</v>
      </c>
      <c r="C76" s="27">
        <f>_xlfn.QUARTILE.INC('Assignment_Data7 to 10'!C2:C101,4)-_xlfn.QUARTILE.INC('Assignment_Data7 to 10'!C2:C101,0)</f>
        <v>48</v>
      </c>
    </row>
    <row r="79" spans="1:6" x14ac:dyDescent="0.25">
      <c r="A79" t="s">
        <v>47</v>
      </c>
      <c r="B79" s="1" t="s">
        <v>48</v>
      </c>
      <c r="C79" s="1"/>
      <c r="D79" s="1"/>
      <c r="E79" s="1"/>
    </row>
    <row r="81" spans="1:7" x14ac:dyDescent="0.25">
      <c r="B81" s="46"/>
      <c r="C81" s="46" t="s">
        <v>0</v>
      </c>
      <c r="D81" s="46" t="s">
        <v>1</v>
      </c>
      <c r="E81" s="46" t="s">
        <v>2</v>
      </c>
      <c r="F81" s="46" t="s">
        <v>3</v>
      </c>
      <c r="G81" s="46" t="s">
        <v>4</v>
      </c>
    </row>
    <row r="82" spans="1:7" x14ac:dyDescent="0.25">
      <c r="B82" s="47" t="s">
        <v>0</v>
      </c>
      <c r="C82" s="47">
        <v>1</v>
      </c>
      <c r="D82" s="47"/>
      <c r="E82" s="47"/>
      <c r="F82" s="47"/>
      <c r="G82" s="47"/>
    </row>
    <row r="83" spans="1:7" x14ac:dyDescent="0.25">
      <c r="B83" s="47" t="s">
        <v>1</v>
      </c>
      <c r="C83" s="47">
        <v>-1.76583580121575E-2</v>
      </c>
      <c r="D83" s="47">
        <v>1</v>
      </c>
      <c r="E83" s="47"/>
      <c r="F83" s="47"/>
      <c r="G83" s="47"/>
    </row>
    <row r="84" spans="1:7" x14ac:dyDescent="0.25">
      <c r="B84" s="47" t="s">
        <v>2</v>
      </c>
      <c r="C84" s="47">
        <v>6.1269927716477567E-2</v>
      </c>
      <c r="D84" s="47">
        <v>-1.5562351235101841E-3</v>
      </c>
      <c r="E84" s="47">
        <v>1</v>
      </c>
      <c r="F84" s="47"/>
      <c r="G84" s="47"/>
    </row>
    <row r="85" spans="1:7" x14ac:dyDescent="0.25">
      <c r="B85" s="47" t="s">
        <v>3</v>
      </c>
      <c r="C85" s="47">
        <v>-0.10558671521200913</v>
      </c>
      <c r="D85" s="47">
        <v>-0.16429646343729251</v>
      </c>
      <c r="E85" s="47">
        <v>2.4925181778336872E-2</v>
      </c>
      <c r="F85" s="47">
        <v>1</v>
      </c>
      <c r="G85" s="47"/>
    </row>
    <row r="86" spans="1:7" x14ac:dyDescent="0.25">
      <c r="B86" s="47" t="s">
        <v>4</v>
      </c>
      <c r="C86" s="47">
        <v>-1.2339678809961185E-2</v>
      </c>
      <c r="D86" s="47">
        <v>-7.8238758975678377E-2</v>
      </c>
      <c r="E86" s="47">
        <v>-0.16184622628463602</v>
      </c>
      <c r="F86" s="47">
        <v>8.8200793786690324E-2</v>
      </c>
      <c r="G86" s="47">
        <v>1</v>
      </c>
    </row>
    <row r="88" spans="1:7" x14ac:dyDescent="0.25">
      <c r="A88" t="s">
        <v>49</v>
      </c>
      <c r="B88" s="2" t="s">
        <v>50</v>
      </c>
      <c r="C88" s="2"/>
      <c r="D88" s="2"/>
      <c r="E88" s="2"/>
      <c r="F88" s="2"/>
    </row>
    <row r="89" spans="1:7" ht="15.75" thickBot="1" x14ac:dyDescent="0.3"/>
    <row r="90" spans="1:7" x14ac:dyDescent="0.25">
      <c r="B90" s="28"/>
      <c r="C90" s="29" t="s">
        <v>29</v>
      </c>
      <c r="D90" s="29" t="s">
        <v>51</v>
      </c>
      <c r="E90" s="30" t="s">
        <v>15</v>
      </c>
    </row>
    <row r="91" spans="1:7" x14ac:dyDescent="0.25">
      <c r="B91" s="31" t="s">
        <v>0</v>
      </c>
      <c r="C91" s="6">
        <f>_xlfn.QUARTILE.INC('Assignment_Data7 to 10'!A2:A101,4)</f>
        <v>64</v>
      </c>
      <c r="D91" s="6">
        <f>_xlfn.QUARTILE.INC('Assignment_Data7 to 10'!A2:A101,0)</f>
        <v>18</v>
      </c>
      <c r="E91" s="32">
        <f>C91-D91</f>
        <v>46</v>
      </c>
    </row>
    <row r="92" spans="1:7" ht="15.75" thickBot="1" x14ac:dyDescent="0.3">
      <c r="B92" s="22" t="s">
        <v>1</v>
      </c>
      <c r="C92" s="33">
        <f>_xlfn.QUARTILE.INC('Assignment_Data7 to 10'!B2:B101,4)</f>
        <v>179736</v>
      </c>
      <c r="D92" s="33">
        <f>_xlfn.QUARTILE.INC('Assignment_Data7 to 10'!B2:B101,0)</f>
        <v>27693</v>
      </c>
      <c r="E92" s="23">
        <f>C92-D92</f>
        <v>152043</v>
      </c>
    </row>
    <row r="96" spans="1:7" x14ac:dyDescent="0.25">
      <c r="A96" t="s">
        <v>52</v>
      </c>
      <c r="B96" s="2" t="s">
        <v>53</v>
      </c>
      <c r="C96" s="2"/>
      <c r="D96" s="2"/>
      <c r="E96" s="2"/>
      <c r="F96" s="2"/>
    </row>
    <row r="97" spans="1:6" ht="15.75" thickBot="1" x14ac:dyDescent="0.3"/>
    <row r="98" spans="1:6" x14ac:dyDescent="0.25">
      <c r="B98" s="28"/>
      <c r="C98" s="35">
        <v>0.25</v>
      </c>
      <c r="D98" s="35">
        <v>0.5</v>
      </c>
      <c r="E98" s="36">
        <v>0.75</v>
      </c>
    </row>
    <row r="99" spans="1:6" ht="15.75" thickBot="1" x14ac:dyDescent="0.3">
      <c r="B99" s="22" t="s">
        <v>54</v>
      </c>
      <c r="C99" s="33">
        <f>_xlfn.QUARTILE.INC('Assignment_Data7 to 10'!C2:C101,1)</f>
        <v>13.5</v>
      </c>
      <c r="D99" s="33">
        <f>_xlfn.QUARTILE.INC('Assignment_Data7 to 10'!C2:C101,2)</f>
        <v>24</v>
      </c>
      <c r="E99" s="23">
        <f>_xlfn.QUARTILE.INC('Assignment_Data7 to 10'!C2:C101,3)</f>
        <v>35</v>
      </c>
    </row>
    <row r="102" spans="1:6" x14ac:dyDescent="0.25">
      <c r="A102" t="s">
        <v>55</v>
      </c>
      <c r="B102" s="2" t="s">
        <v>56</v>
      </c>
      <c r="C102" s="2"/>
      <c r="D102" s="2"/>
      <c r="E102" s="2"/>
      <c r="F102" s="2"/>
    </row>
    <row r="103" spans="1:6" ht="15.75" thickBot="1" x14ac:dyDescent="0.3"/>
    <row r="104" spans="1:6" ht="15.75" thickBot="1" x14ac:dyDescent="0.3">
      <c r="B104" s="24" t="s">
        <v>57</v>
      </c>
      <c r="C104" s="37">
        <f>_xlfn.COVARIANCE.S('Assignment_Data7 to 10'!B2:B101,'Assignment_Data7 to 10'!E2:E101)</f>
        <v>-20227.181414141414</v>
      </c>
    </row>
    <row r="107" spans="1:6" x14ac:dyDescent="0.25">
      <c r="A107" t="s">
        <v>58</v>
      </c>
      <c r="B107" s="9" t="s">
        <v>59</v>
      </c>
      <c r="C107" s="2"/>
      <c r="D107" s="2"/>
      <c r="E107" s="2"/>
      <c r="F107" s="2"/>
    </row>
    <row r="108" spans="1:6" ht="15.75" thickBot="1" x14ac:dyDescent="0.3"/>
    <row r="109" spans="1:6" x14ac:dyDescent="0.25">
      <c r="B109" s="20" t="s">
        <v>60</v>
      </c>
      <c r="C109" s="21">
        <f>SKEW('Assignment_Data7 to 10'!B2:B101)</f>
        <v>-0.25307872181127566</v>
      </c>
    </row>
    <row r="110" spans="1:6" ht="15.75" thickBot="1" x14ac:dyDescent="0.3">
      <c r="B110" s="22" t="s">
        <v>62</v>
      </c>
      <c r="C110" s="23">
        <f>KURT('Assignment_Data7 to 10'!B2:B101)</f>
        <v>-1.2236234886974053</v>
      </c>
    </row>
    <row r="112" spans="1:6" x14ac:dyDescent="0.25">
      <c r="A112" t="s">
        <v>61</v>
      </c>
      <c r="B112" s="2" t="s">
        <v>63</v>
      </c>
      <c r="C112" s="2"/>
      <c r="D112" s="2"/>
      <c r="E112" s="2"/>
      <c r="F112" s="2"/>
    </row>
    <row r="113" spans="2:3" ht="15.75" thickBot="1" x14ac:dyDescent="0.3"/>
    <row r="114" spans="2:3" ht="15.75" thickBot="1" x14ac:dyDescent="0.3">
      <c r="B114" s="45" t="s">
        <v>3</v>
      </c>
      <c r="C114" s="45" t="s">
        <v>5</v>
      </c>
    </row>
    <row r="115" spans="2:3" x14ac:dyDescent="0.25">
      <c r="B115" s="42">
        <v>1.9759585740000001</v>
      </c>
      <c r="C115" s="43">
        <f>(B115-AVERAGE($B$115:$B$214))/_xlfn.STDEV.S(Statistics!$B$115:$B$214)</f>
        <v>-0.99010449754672747</v>
      </c>
    </row>
    <row r="116" spans="2:3" x14ac:dyDescent="0.25">
      <c r="B116" s="42">
        <v>4.8920422190000004</v>
      </c>
      <c r="C116" s="43">
        <f>(B116-AVERAGE($B$115:$B$214))/_xlfn.STDEV.S(Statistics!$B$115:$B$214)</f>
        <v>1.4995506828633114</v>
      </c>
    </row>
    <row r="117" spans="2:3" x14ac:dyDescent="0.25">
      <c r="B117" s="42">
        <v>2.5723908990000002</v>
      </c>
      <c r="C117" s="43">
        <f>(B117-AVERAGE($B$115:$B$214))/_xlfn.STDEV.S(Statistics!$B$115:$B$214)</f>
        <v>-0.48089042536250726</v>
      </c>
    </row>
    <row r="118" spans="2:3" x14ac:dyDescent="0.25">
      <c r="B118" s="42">
        <v>4.5681862210000004</v>
      </c>
      <c r="C118" s="43">
        <f>(B118-AVERAGE($B$115:$B$214))/_xlfn.STDEV.S(Statistics!$B$115:$B$214)</f>
        <v>1.2230532084132726</v>
      </c>
    </row>
    <row r="119" spans="2:3" x14ac:dyDescent="0.25">
      <c r="B119" s="42">
        <v>3.5245545040000001</v>
      </c>
      <c r="C119" s="43">
        <f>(B119-AVERAGE($B$115:$B$214))/_xlfn.STDEV.S(Statistics!$B$115:$B$214)</f>
        <v>0.33203517636046648</v>
      </c>
    </row>
    <row r="120" spans="2:3" x14ac:dyDescent="0.25">
      <c r="B120" s="42">
        <v>4.1792452139999998</v>
      </c>
      <c r="C120" s="43">
        <f>(B120-AVERAGE($B$115:$B$214))/_xlfn.STDEV.S(Statistics!$B$115:$B$214)</f>
        <v>0.89098831904983722</v>
      </c>
    </row>
    <row r="121" spans="2:3" x14ac:dyDescent="0.25">
      <c r="B121" s="42">
        <v>3.0105483720000001</v>
      </c>
      <c r="C121" s="43">
        <f>(B121-AVERAGE($B$115:$B$214))/_xlfn.STDEV.S(Statistics!$B$115:$B$214)</f>
        <v>-0.10680615505694081</v>
      </c>
    </row>
    <row r="122" spans="2:3" x14ac:dyDescent="0.25">
      <c r="B122" s="42">
        <v>3.3076155389999999</v>
      </c>
      <c r="C122" s="43">
        <f>(B122-AVERAGE($B$115:$B$214))/_xlfn.STDEV.S(Statistics!$B$115:$B$214)</f>
        <v>0.14681990691127941</v>
      </c>
    </row>
    <row r="123" spans="2:3" x14ac:dyDescent="0.25">
      <c r="B123" s="42">
        <v>2.9700707749999999</v>
      </c>
      <c r="C123" s="43">
        <f>(B123-AVERAGE($B$115:$B$214))/_xlfn.STDEV.S(Statistics!$B$115:$B$214)</f>
        <v>-0.14136458044175185</v>
      </c>
    </row>
    <row r="124" spans="2:3" x14ac:dyDescent="0.25">
      <c r="B124" s="42">
        <v>1.7809719509999999</v>
      </c>
      <c r="C124" s="43">
        <f>(B124-AVERAGE($B$115:$B$214))/_xlfn.STDEV.S(Statistics!$B$115:$B$214)</f>
        <v>-1.1565775878831364</v>
      </c>
    </row>
    <row r="125" spans="2:3" x14ac:dyDescent="0.25">
      <c r="B125" s="42">
        <v>3.8898084609999999</v>
      </c>
      <c r="C125" s="43">
        <f>(B125-AVERAGE($B$115:$B$214))/_xlfn.STDEV.S(Statistics!$B$115:$B$214)</f>
        <v>0.64387685064492095</v>
      </c>
    </row>
    <row r="126" spans="2:3" x14ac:dyDescent="0.25">
      <c r="B126" s="42">
        <v>2.1230894500000002</v>
      </c>
      <c r="C126" s="43">
        <f>(B126-AVERAGE($B$115:$B$214))/_xlfn.STDEV.S(Statistics!$B$115:$B$214)</f>
        <v>-0.86448905154957834</v>
      </c>
    </row>
    <row r="127" spans="2:3" x14ac:dyDescent="0.25">
      <c r="B127" s="42">
        <v>1.097263866</v>
      </c>
      <c r="C127" s="43">
        <f>(B127-AVERAGE($B$115:$B$214))/_xlfn.STDEV.S(Statistics!$B$115:$B$214)</f>
        <v>-1.7403047997644254</v>
      </c>
    </row>
    <row r="128" spans="2:3" x14ac:dyDescent="0.25">
      <c r="B128" s="42">
        <v>3.581889184</v>
      </c>
      <c r="C128" s="43">
        <f>(B128-AVERAGE($B$115:$B$214))/_xlfn.STDEV.S(Statistics!$B$115:$B$214)</f>
        <v>0.38098561827385385</v>
      </c>
    </row>
    <row r="129" spans="2:3" x14ac:dyDescent="0.25">
      <c r="B129" s="42">
        <v>1.7084427179999999</v>
      </c>
      <c r="C129" s="43">
        <f>(B129-AVERAGE($B$115:$B$214))/_xlfn.STDEV.S(Statistics!$B$115:$B$214)</f>
        <v>-1.2185006335335009</v>
      </c>
    </row>
    <row r="130" spans="2:3" x14ac:dyDescent="0.25">
      <c r="B130" s="42">
        <v>4.7618343369999998</v>
      </c>
      <c r="C130" s="43">
        <f>(B130-AVERAGE($B$115:$B$214))/_xlfn.STDEV.S(Statistics!$B$115:$B$214)</f>
        <v>1.388383526013282</v>
      </c>
    </row>
    <row r="131" spans="2:3" x14ac:dyDescent="0.25">
      <c r="B131" s="42">
        <v>4.8157143080000004</v>
      </c>
      <c r="C131" s="43">
        <f>(B131-AVERAGE($B$115:$B$214))/_xlfn.STDEV.S(Statistics!$B$115:$B$214)</f>
        <v>1.434384452341475</v>
      </c>
    </row>
    <row r="132" spans="2:3" x14ac:dyDescent="0.25">
      <c r="B132" s="42">
        <v>4.659457561</v>
      </c>
      <c r="C132" s="43">
        <f>(B132-AVERAGE($B$115:$B$214))/_xlfn.STDEV.S(Statistics!$B$115:$B$214)</f>
        <v>1.3009776413572958</v>
      </c>
    </row>
    <row r="133" spans="2:3" x14ac:dyDescent="0.25">
      <c r="B133" s="42">
        <v>2.4806348009999999</v>
      </c>
      <c r="C133" s="43">
        <f>(B133-AVERAGE($B$115:$B$214))/_xlfn.STDEV.S(Statistics!$B$115:$B$214)</f>
        <v>-0.5592287285561085</v>
      </c>
    </row>
    <row r="134" spans="2:3" x14ac:dyDescent="0.25">
      <c r="B134" s="42">
        <v>1.0618264660000001</v>
      </c>
      <c r="C134" s="43">
        <f>(B134-AVERAGE($B$115:$B$214))/_xlfn.STDEV.S(Statistics!$B$115:$B$214)</f>
        <v>-1.7705600726683901</v>
      </c>
    </row>
    <row r="135" spans="2:3" x14ac:dyDescent="0.25">
      <c r="B135" s="42">
        <v>4.7132742500000004</v>
      </c>
      <c r="C135" s="43">
        <f>(B135-AVERAGE($B$115:$B$214))/_xlfn.STDEV.S(Statistics!$B$115:$B$214)</f>
        <v>1.3469245396196627</v>
      </c>
    </row>
    <row r="136" spans="2:3" x14ac:dyDescent="0.25">
      <c r="B136" s="42">
        <v>2.7127365929999998</v>
      </c>
      <c r="C136" s="43">
        <f>(B136-AVERAGE($B$115:$B$214))/_xlfn.STDEV.S(Statistics!$B$115:$B$214)</f>
        <v>-0.36106794197302922</v>
      </c>
    </row>
    <row r="137" spans="2:3" x14ac:dyDescent="0.25">
      <c r="B137" s="42">
        <v>4.8666192759999998</v>
      </c>
      <c r="C137" s="43">
        <f>(B137-AVERAGE($B$115:$B$214))/_xlfn.STDEV.S(Statistics!$B$115:$B$214)</f>
        <v>1.4778454201045605</v>
      </c>
    </row>
    <row r="138" spans="2:3" x14ac:dyDescent="0.25">
      <c r="B138" s="42">
        <v>4.8544799080000001</v>
      </c>
      <c r="C138" s="43">
        <f>(B138-AVERAGE($B$115:$B$214))/_xlfn.STDEV.S(Statistics!$B$115:$B$214)</f>
        <v>1.4674812316561516</v>
      </c>
    </row>
    <row r="139" spans="2:3" x14ac:dyDescent="0.25">
      <c r="B139" s="42">
        <v>4.4120378220000003</v>
      </c>
      <c r="C139" s="43">
        <f>(B139-AVERAGE($B$115:$B$214))/_xlfn.STDEV.S(Statistics!$B$115:$B$214)</f>
        <v>1.0897389013461021</v>
      </c>
    </row>
    <row r="140" spans="2:3" x14ac:dyDescent="0.25">
      <c r="B140" s="42">
        <v>2.1777955680000001</v>
      </c>
      <c r="C140" s="43">
        <f>(B140-AVERAGE($B$115:$B$214))/_xlfn.STDEV.S(Statistics!$B$115:$B$214)</f>
        <v>-0.81778278840367924</v>
      </c>
    </row>
    <row r="141" spans="2:3" x14ac:dyDescent="0.25">
      <c r="B141" s="42">
        <v>2.5403909140000001</v>
      </c>
      <c r="C141" s="43">
        <f>(B141-AVERAGE($B$115:$B$214))/_xlfn.STDEV.S(Statistics!$B$115:$B$214)</f>
        <v>-0.50821094772300146</v>
      </c>
    </row>
    <row r="142" spans="2:3" x14ac:dyDescent="0.25">
      <c r="B142" s="42">
        <v>4.4045466859999998</v>
      </c>
      <c r="C142" s="43">
        <f>(B142-AVERAGE($B$115:$B$214))/_xlfn.STDEV.S(Statistics!$B$115:$B$214)</f>
        <v>1.0833432187045784</v>
      </c>
    </row>
    <row r="143" spans="2:3" x14ac:dyDescent="0.25">
      <c r="B143" s="42">
        <v>2.2676880210000001</v>
      </c>
      <c r="C143" s="43">
        <f>(B143-AVERAGE($B$115:$B$214))/_xlfn.STDEV.S(Statistics!$B$115:$B$214)</f>
        <v>-0.74103560329636864</v>
      </c>
    </row>
    <row r="144" spans="2:3" x14ac:dyDescent="0.25">
      <c r="B144" s="42">
        <v>1.6779709869999999</v>
      </c>
      <c r="C144" s="43">
        <f>(B144-AVERAGE($B$115:$B$214))/_xlfn.STDEV.S(Statistics!$B$115:$B$214)</f>
        <v>-1.2445163834830233</v>
      </c>
    </row>
    <row r="145" spans="2:3" x14ac:dyDescent="0.25">
      <c r="B145" s="42">
        <v>3.2272050499999998</v>
      </c>
      <c r="C145" s="43">
        <f>(B145-AVERAGE($B$115:$B$214))/_xlfn.STDEV.S(Statistics!$B$115:$B$214)</f>
        <v>7.8168107145036858E-2</v>
      </c>
    </row>
    <row r="146" spans="2:3" x14ac:dyDescent="0.25">
      <c r="B146" s="42">
        <v>4.7446190970000002</v>
      </c>
      <c r="C146" s="43">
        <f>(B146-AVERAGE($B$115:$B$214))/_xlfn.STDEV.S(Statistics!$B$115:$B$214)</f>
        <v>1.3736857269561491</v>
      </c>
    </row>
    <row r="147" spans="2:3" x14ac:dyDescent="0.25">
      <c r="B147" s="42">
        <v>3.7841191869999999</v>
      </c>
      <c r="C147" s="43">
        <f>(B147-AVERAGE($B$115:$B$214))/_xlfn.STDEV.S(Statistics!$B$115:$B$214)</f>
        <v>0.55364286542332219</v>
      </c>
    </row>
    <row r="148" spans="2:3" x14ac:dyDescent="0.25">
      <c r="B148" s="42">
        <v>3.28024468</v>
      </c>
      <c r="C148" s="43">
        <f>(B148-AVERAGE($B$115:$B$214))/_xlfn.STDEV.S(Statistics!$B$115:$B$214)</f>
        <v>0.12345157829064327</v>
      </c>
    </row>
    <row r="149" spans="2:3" x14ac:dyDescent="0.25">
      <c r="B149" s="42">
        <v>1.3887059749999999</v>
      </c>
      <c r="C149" s="43">
        <f>(B149-AVERAGE($B$115:$B$214))/_xlfn.STDEV.S(Statistics!$B$115:$B$214)</f>
        <v>-1.4914812251369984</v>
      </c>
    </row>
    <row r="150" spans="2:3" x14ac:dyDescent="0.25">
      <c r="B150" s="42">
        <v>3.4600289069999999</v>
      </c>
      <c r="C150" s="43">
        <f>(B150-AVERAGE($B$115:$B$214))/_xlfn.STDEV.S(Statistics!$B$115:$B$214)</f>
        <v>0.27694536879765869</v>
      </c>
    </row>
    <row r="151" spans="2:3" x14ac:dyDescent="0.25">
      <c r="B151" s="42">
        <v>4.9602154000000001</v>
      </c>
      <c r="C151" s="43">
        <f>(B151-AVERAGE($B$115:$B$214))/_xlfn.STDEV.S(Statistics!$B$115:$B$214)</f>
        <v>1.5577546762681989</v>
      </c>
    </row>
    <row r="152" spans="2:3" x14ac:dyDescent="0.25">
      <c r="B152" s="42">
        <v>1.5603360610000001</v>
      </c>
      <c r="C152" s="43">
        <f>(B152-AVERAGE($B$115:$B$214))/_xlfn.STDEV.S(Statistics!$B$115:$B$214)</f>
        <v>-1.3449491688783306</v>
      </c>
    </row>
    <row r="153" spans="2:3" x14ac:dyDescent="0.25">
      <c r="B153" s="42">
        <v>3.0733186090000002</v>
      </c>
      <c r="C153" s="43">
        <f>(B153-AVERAGE($B$115:$B$214))/_xlfn.STDEV.S(Statistics!$B$115:$B$214)</f>
        <v>-5.3215015450718703E-2</v>
      </c>
    </row>
    <row r="154" spans="2:3" x14ac:dyDescent="0.25">
      <c r="B154" s="42">
        <v>4.5094922879999997</v>
      </c>
      <c r="C154" s="43">
        <f>(B154-AVERAGE($B$115:$B$214))/_xlfn.STDEV.S(Statistics!$B$115:$B$214)</f>
        <v>1.17294228151903</v>
      </c>
    </row>
    <row r="155" spans="2:3" x14ac:dyDescent="0.25">
      <c r="B155" s="42">
        <v>3.9630744710000001</v>
      </c>
      <c r="C155" s="43">
        <f>(B155-AVERAGE($B$115:$B$214))/_xlfn.STDEV.S(Statistics!$B$115:$B$214)</f>
        <v>0.7064289319808712</v>
      </c>
    </row>
    <row r="156" spans="2:3" x14ac:dyDescent="0.25">
      <c r="B156" s="42">
        <v>3.7880629639999999</v>
      </c>
      <c r="C156" s="43">
        <f>(B156-AVERAGE($B$115:$B$214))/_xlfn.STDEV.S(Statistics!$B$115:$B$214)</f>
        <v>0.55700993099267482</v>
      </c>
    </row>
    <row r="157" spans="2:3" x14ac:dyDescent="0.25">
      <c r="B157" s="42">
        <v>3.8099363359999998</v>
      </c>
      <c r="C157" s="43">
        <f>(B157-AVERAGE($B$115:$B$214))/_xlfn.STDEV.S(Statistics!$B$115:$B$214)</f>
        <v>0.57568468814726104</v>
      </c>
    </row>
    <row r="158" spans="2:3" x14ac:dyDescent="0.25">
      <c r="B158" s="42">
        <v>2.4379646049999999</v>
      </c>
      <c r="C158" s="43">
        <f>(B158-AVERAGE($B$115:$B$214))/_xlfn.STDEV.S(Statistics!$B$115:$B$214)</f>
        <v>-0.59565912200612625</v>
      </c>
    </row>
    <row r="159" spans="2:3" x14ac:dyDescent="0.25">
      <c r="B159" s="42">
        <v>2.1743673769999998</v>
      </c>
      <c r="C159" s="43">
        <f>(B159-AVERAGE($B$115:$B$214))/_xlfn.STDEV.S(Statistics!$B$115:$B$214)</f>
        <v>-0.82070966380288812</v>
      </c>
    </row>
    <row r="160" spans="2:3" x14ac:dyDescent="0.25">
      <c r="B160" s="42">
        <v>4.2374446219999999</v>
      </c>
      <c r="C160" s="43">
        <f>(B160-AVERAGE($B$115:$B$214))/_xlfn.STDEV.S(Statistics!$B$115:$B$214)</f>
        <v>0.94067703695490879</v>
      </c>
    </row>
    <row r="161" spans="2:3" x14ac:dyDescent="0.25">
      <c r="B161" s="42">
        <v>4.2404535790000004</v>
      </c>
      <c r="C161" s="43">
        <f>(B161-AVERAGE($B$115:$B$214))/_xlfn.STDEV.S(Statistics!$B$115:$B$214)</f>
        <v>0.94324598431536155</v>
      </c>
    </row>
    <row r="162" spans="2:3" x14ac:dyDescent="0.25">
      <c r="B162" s="42">
        <v>4.468289274</v>
      </c>
      <c r="C162" s="43">
        <f>(B162-AVERAGE($B$115:$B$214))/_xlfn.STDEV.S(Statistics!$B$115:$B$214)</f>
        <v>1.1377645192386183</v>
      </c>
    </row>
    <row r="163" spans="2:3" x14ac:dyDescent="0.25">
      <c r="B163" s="42">
        <v>4.6529622100000001</v>
      </c>
      <c r="C163" s="43">
        <f>(B163-AVERAGE($B$115:$B$214))/_xlfn.STDEV.S(Statistics!$B$115:$B$214)</f>
        <v>1.2954321268129998</v>
      </c>
    </row>
    <row r="164" spans="2:3" x14ac:dyDescent="0.25">
      <c r="B164" s="42">
        <v>3.0453695949999999</v>
      </c>
      <c r="C164" s="43">
        <f>(B164-AVERAGE($B$115:$B$214))/_xlfn.STDEV.S(Statistics!$B$115:$B$214)</f>
        <v>-7.707695357165123E-2</v>
      </c>
    </row>
    <row r="165" spans="2:3" x14ac:dyDescent="0.25">
      <c r="B165" s="42">
        <v>3.0060651790000001</v>
      </c>
      <c r="C165" s="43">
        <f>(B165-AVERAGE($B$115:$B$214))/_xlfn.STDEV.S(Statistics!$B$115:$B$214)</f>
        <v>-0.11063375605746972</v>
      </c>
    </row>
    <row r="166" spans="2:3" x14ac:dyDescent="0.25">
      <c r="B166" s="42">
        <v>4.1931807159999996</v>
      </c>
      <c r="C166" s="43">
        <f>(B166-AVERAGE($B$115:$B$214))/_xlfn.STDEV.S(Statistics!$B$115:$B$214)</f>
        <v>0.90288598693923483</v>
      </c>
    </row>
    <row r="167" spans="2:3" x14ac:dyDescent="0.25">
      <c r="B167" s="42">
        <v>3.5998557230000001</v>
      </c>
      <c r="C167" s="43">
        <f>(B167-AVERAGE($B$115:$B$214))/_xlfn.STDEV.S(Statistics!$B$115:$B$214)</f>
        <v>0.39632485141693791</v>
      </c>
    </row>
    <row r="168" spans="2:3" x14ac:dyDescent="0.25">
      <c r="B168" s="42">
        <v>3.8078675089999998</v>
      </c>
      <c r="C168" s="43">
        <f>(B168-AVERAGE($B$115:$B$214))/_xlfn.STDEV.S(Statistics!$B$115:$B$214)</f>
        <v>0.57391839249701337</v>
      </c>
    </row>
    <row r="169" spans="2:3" x14ac:dyDescent="0.25">
      <c r="B169" s="42">
        <v>4.1831706779999998</v>
      </c>
      <c r="C169" s="43">
        <f>(B169-AVERAGE($B$115:$B$214))/_xlfn.STDEV.S(Statistics!$B$115:$B$214)</f>
        <v>0.89433974958917384</v>
      </c>
    </row>
    <row r="170" spans="2:3" x14ac:dyDescent="0.25">
      <c r="B170" s="42">
        <v>4.560021367</v>
      </c>
      <c r="C170" s="43">
        <f>(B170-AVERAGE($B$115:$B$214))/_xlfn.STDEV.S(Statistics!$B$115:$B$214)</f>
        <v>1.2160823277620105</v>
      </c>
    </row>
    <row r="171" spans="2:3" x14ac:dyDescent="0.25">
      <c r="B171" s="42">
        <v>2.3519806270000001</v>
      </c>
      <c r="C171" s="43">
        <f>(B171-AVERAGE($B$115:$B$214))/_xlfn.STDEV.S(Statistics!$B$115:$B$214)</f>
        <v>-0.66906938121697346</v>
      </c>
    </row>
    <row r="172" spans="2:3" x14ac:dyDescent="0.25">
      <c r="B172" s="42">
        <v>2.5023318109999999</v>
      </c>
      <c r="C172" s="43">
        <f>(B172-AVERAGE($B$115:$B$214))/_xlfn.STDEV.S(Statistics!$B$115:$B$214)</f>
        <v>-0.54070454340849472</v>
      </c>
    </row>
    <row r="173" spans="2:3" x14ac:dyDescent="0.25">
      <c r="B173" s="42">
        <v>1.3759277590000001</v>
      </c>
      <c r="C173" s="43">
        <f>(B173-AVERAGE($B$115:$B$214))/_xlfn.STDEV.S(Statistics!$B$115:$B$214)</f>
        <v>-1.5023908407494813</v>
      </c>
    </row>
    <row r="174" spans="2:3" x14ac:dyDescent="0.25">
      <c r="B174" s="42">
        <v>3.3131205640000001</v>
      </c>
      <c r="C174" s="43">
        <f>(B174-AVERAGE($B$115:$B$214))/_xlfn.STDEV.S(Statistics!$B$115:$B$214)</f>
        <v>0.15151991407089477</v>
      </c>
    </row>
    <row r="175" spans="2:3" x14ac:dyDescent="0.25">
      <c r="B175" s="42">
        <v>1.1437690949999999</v>
      </c>
      <c r="C175" s="43">
        <f>(B175-AVERAGE($B$115:$B$214))/_xlfn.STDEV.S(Statistics!$B$115:$B$214)</f>
        <v>-1.7006001827536863</v>
      </c>
    </row>
    <row r="176" spans="2:3" x14ac:dyDescent="0.25">
      <c r="B176" s="42">
        <v>2.8623920730000001</v>
      </c>
      <c r="C176" s="43">
        <f>(B176-AVERAGE($B$115:$B$214))/_xlfn.STDEV.S(Statistics!$B$115:$B$214)</f>
        <v>-0.23329707308948192</v>
      </c>
    </row>
    <row r="177" spans="2:3" x14ac:dyDescent="0.25">
      <c r="B177" s="42">
        <v>3.1705785390000001</v>
      </c>
      <c r="C177" s="43">
        <f>(B177-AVERAGE($B$115:$B$214))/_xlfn.STDEV.S(Statistics!$B$115:$B$214)</f>
        <v>2.9822276358795707E-2</v>
      </c>
    </row>
    <row r="178" spans="2:3" x14ac:dyDescent="0.25">
      <c r="B178" s="42">
        <v>2.1461650090000002</v>
      </c>
      <c r="C178" s="43">
        <f>(B178-AVERAGE($B$115:$B$214))/_xlfn.STDEV.S(Statistics!$B$115:$B$214)</f>
        <v>-0.84478790713840446</v>
      </c>
    </row>
    <row r="179" spans="2:3" x14ac:dyDescent="0.25">
      <c r="B179" s="42">
        <v>3.3633330419999998</v>
      </c>
      <c r="C179" s="43">
        <f>(B179-AVERAGE($B$115:$B$214))/_xlfn.STDEV.S(Statistics!$B$115:$B$214)</f>
        <v>0.1943896569152995</v>
      </c>
    </row>
    <row r="180" spans="2:3" x14ac:dyDescent="0.25">
      <c r="B180" s="42">
        <v>1.122001</v>
      </c>
      <c r="C180" s="43">
        <f>(B180-AVERAGE($B$115:$B$214))/_xlfn.STDEV.S(Statistics!$B$115:$B$214)</f>
        <v>-1.7191850579088734</v>
      </c>
    </row>
    <row r="181" spans="2:3" x14ac:dyDescent="0.25">
      <c r="B181" s="42">
        <v>1.149392755</v>
      </c>
      <c r="C181" s="43">
        <f>(B181-AVERAGE($B$115:$B$214))/_xlfn.STDEV.S(Statistics!$B$115:$B$214)</f>
        <v>-1.6957988889787732</v>
      </c>
    </row>
    <row r="182" spans="2:3" x14ac:dyDescent="0.25">
      <c r="B182" s="42">
        <v>4.2904022429999999</v>
      </c>
      <c r="C182" s="43">
        <f>(B182-AVERAGE($B$115:$B$214))/_xlfn.STDEV.S(Statistics!$B$115:$B$214)</f>
        <v>0.9858904915452491</v>
      </c>
    </row>
    <row r="183" spans="2:3" x14ac:dyDescent="0.25">
      <c r="B183" s="42">
        <v>2.4407625660000001</v>
      </c>
      <c r="C183" s="43">
        <f>(B183-AVERAGE($B$115:$B$214))/_xlfn.STDEV.S(Statistics!$B$115:$B$214)</f>
        <v>-0.5932703160093642</v>
      </c>
    </row>
    <row r="184" spans="2:3" x14ac:dyDescent="0.25">
      <c r="B184" s="42">
        <v>1.5082420510000001</v>
      </c>
      <c r="C184" s="43">
        <f>(B184-AVERAGE($B$115:$B$214))/_xlfn.STDEV.S(Statistics!$B$115:$B$214)</f>
        <v>-1.3894253011344178</v>
      </c>
    </row>
    <row r="185" spans="2:3" x14ac:dyDescent="0.25">
      <c r="B185" s="42">
        <v>3.0889730399999999</v>
      </c>
      <c r="C185" s="43">
        <f>(B185-AVERAGE($B$115:$B$214))/_xlfn.STDEV.S(Statistics!$B$115:$B$214)</f>
        <v>-3.9849783180256559E-2</v>
      </c>
    </row>
    <row r="186" spans="2:3" x14ac:dyDescent="0.25">
      <c r="B186" s="42">
        <v>4.0799742119999998</v>
      </c>
      <c r="C186" s="43">
        <f>(B186-AVERAGE($B$115:$B$214))/_xlfn.STDEV.S(Statistics!$B$115:$B$214)</f>
        <v>0.80623404088721773</v>
      </c>
    </row>
    <row r="187" spans="2:3" x14ac:dyDescent="0.25">
      <c r="B187" s="42">
        <v>1.8632841099999999</v>
      </c>
      <c r="C187" s="43">
        <f>(B187-AVERAGE($B$115:$B$214))/_xlfn.STDEV.S(Statistics!$B$115:$B$214)</f>
        <v>-1.0863022055509246</v>
      </c>
    </row>
    <row r="188" spans="2:3" x14ac:dyDescent="0.25">
      <c r="B188" s="42">
        <v>3.491561903</v>
      </c>
      <c r="C188" s="43">
        <f>(B188-AVERAGE($B$115:$B$214))/_xlfn.STDEV.S(Statistics!$B$115:$B$214)</f>
        <v>0.30386719148949354</v>
      </c>
    </row>
    <row r="189" spans="2:3" x14ac:dyDescent="0.25">
      <c r="B189" s="42">
        <v>1.34138986</v>
      </c>
      <c r="C189" s="43">
        <f>(B189-AVERAGE($B$115:$B$214))/_xlfn.STDEV.S(Statistics!$B$115:$B$214)</f>
        <v>-1.5318781496314695</v>
      </c>
    </row>
    <row r="190" spans="2:3" x14ac:dyDescent="0.25">
      <c r="B190" s="42">
        <v>1.2067268849999999</v>
      </c>
      <c r="C190" s="43">
        <f>(B190-AVERAGE($B$115:$B$214))/_xlfn.STDEV.S(Statistics!$B$115:$B$214)</f>
        <v>-1.6468489166370839</v>
      </c>
    </row>
    <row r="191" spans="2:3" x14ac:dyDescent="0.25">
      <c r="B191" s="42">
        <v>3.1254185259999998</v>
      </c>
      <c r="C191" s="43">
        <f>(B191-AVERAGE($B$115:$B$214))/_xlfn.STDEV.S(Statistics!$B$115:$B$214)</f>
        <v>-8.7338399945935223E-3</v>
      </c>
    </row>
    <row r="192" spans="2:3" x14ac:dyDescent="0.25">
      <c r="B192" s="42">
        <v>3.1625404860000002</v>
      </c>
      <c r="C192" s="43">
        <f>(B192-AVERAGE($B$115:$B$214))/_xlfn.STDEV.S(Statistics!$B$115:$B$214)</f>
        <v>2.2959654181899856E-2</v>
      </c>
    </row>
    <row r="193" spans="2:3" x14ac:dyDescent="0.25">
      <c r="B193" s="42">
        <v>3.549719606</v>
      </c>
      <c r="C193" s="43">
        <f>(B193-AVERAGE($B$115:$B$214))/_xlfn.STDEV.S(Statistics!$B$115:$B$214)</f>
        <v>0.35352030305334181</v>
      </c>
    </row>
    <row r="194" spans="2:3" x14ac:dyDescent="0.25">
      <c r="B194" s="42">
        <v>3.904365335</v>
      </c>
      <c r="C194" s="43">
        <f>(B194-AVERAGE($B$115:$B$214))/_xlfn.STDEV.S(Statistics!$B$115:$B$214)</f>
        <v>0.65630502527112466</v>
      </c>
    </row>
    <row r="195" spans="2:3" x14ac:dyDescent="0.25">
      <c r="B195" s="42">
        <v>4.9034083180000003</v>
      </c>
      <c r="C195" s="43">
        <f>(B195-AVERAGE($B$115:$B$214))/_xlfn.STDEV.S(Statistics!$B$115:$B$214)</f>
        <v>1.5092546799708439</v>
      </c>
    </row>
    <row r="196" spans="2:3" x14ac:dyDescent="0.25">
      <c r="B196" s="42">
        <v>3.0652013930000002</v>
      </c>
      <c r="C196" s="43">
        <f>(B196-AVERAGE($B$115:$B$214))/_xlfn.STDEV.S(Statistics!$B$115:$B$214)</f>
        <v>-6.0145224362784168E-2</v>
      </c>
    </row>
    <row r="197" spans="2:3" x14ac:dyDescent="0.25">
      <c r="B197" s="42">
        <v>2.2918258919999999</v>
      </c>
      <c r="C197" s="43">
        <f>(B197-AVERAGE($B$115:$B$214))/_xlfn.STDEV.S(Statistics!$B$115:$B$214)</f>
        <v>-0.72042749224912239</v>
      </c>
    </row>
    <row r="198" spans="2:3" x14ac:dyDescent="0.25">
      <c r="B198" s="42">
        <v>4.1807447790000003</v>
      </c>
      <c r="C198" s="43">
        <f>(B198-AVERAGE($B$115:$B$214))/_xlfn.STDEV.S(Statistics!$B$115:$B$214)</f>
        <v>0.89226859774726563</v>
      </c>
    </row>
    <row r="199" spans="2:3" x14ac:dyDescent="0.25">
      <c r="B199" s="42">
        <v>2.083329005</v>
      </c>
      <c r="C199" s="43">
        <f>(B199-AVERAGE($B$115:$B$214))/_xlfn.STDEV.S(Statistics!$B$115:$B$214)</f>
        <v>-0.89843519642076186</v>
      </c>
    </row>
    <row r="200" spans="2:3" x14ac:dyDescent="0.25">
      <c r="B200" s="42">
        <v>2.7558856829999998</v>
      </c>
      <c r="C200" s="43">
        <f>(B200-AVERAGE($B$115:$B$214))/_xlfn.STDEV.S(Statistics!$B$115:$B$214)</f>
        <v>-0.32422868476150329</v>
      </c>
    </row>
    <row r="201" spans="2:3" x14ac:dyDescent="0.25">
      <c r="B201" s="42">
        <v>1.3138255249999999</v>
      </c>
      <c r="C201" s="43">
        <f>(B201-AVERAGE($B$115:$B$214))/_xlfn.STDEV.S(Statistics!$B$115:$B$214)</f>
        <v>-1.5554116616227922</v>
      </c>
    </row>
    <row r="202" spans="2:3" x14ac:dyDescent="0.25">
      <c r="B202" s="42">
        <v>1.101402974</v>
      </c>
      <c r="C202" s="43">
        <f>(B202-AVERAGE($B$115:$B$214))/_xlfn.STDEV.S(Statistics!$B$115:$B$214)</f>
        <v>-1.7367709670871132</v>
      </c>
    </row>
    <row r="203" spans="2:3" x14ac:dyDescent="0.25">
      <c r="B203" s="42">
        <v>4.8505936590000003</v>
      </c>
      <c r="C203" s="43">
        <f>(B203-AVERAGE($B$115:$B$214))/_xlfn.STDEV.S(Statistics!$B$115:$B$214)</f>
        <v>1.4641632815788956</v>
      </c>
    </row>
    <row r="204" spans="2:3" x14ac:dyDescent="0.25">
      <c r="B204" s="42">
        <v>4.3439204819999997</v>
      </c>
      <c r="C204" s="43">
        <f>(B204-AVERAGE($B$115:$B$214))/_xlfn.STDEV.S(Statistics!$B$115:$B$214)</f>
        <v>1.031582583128847</v>
      </c>
    </row>
    <row r="205" spans="2:3" x14ac:dyDescent="0.25">
      <c r="B205" s="42">
        <v>3.7838968240000002</v>
      </c>
      <c r="C205" s="43">
        <f>(B205-AVERAGE($B$115:$B$214))/_xlfn.STDEV.S(Statistics!$B$115:$B$214)</f>
        <v>0.55345301929328061</v>
      </c>
    </row>
    <row r="206" spans="2:3" x14ac:dyDescent="0.25">
      <c r="B206" s="42">
        <v>2.6358117779999999</v>
      </c>
      <c r="C206" s="43">
        <f>(B206-AVERAGE($B$115:$B$214))/_xlfn.STDEV.S(Statistics!$B$115:$B$214)</f>
        <v>-0.42674378926746909</v>
      </c>
    </row>
    <row r="207" spans="2:3" x14ac:dyDescent="0.25">
      <c r="B207" s="42">
        <v>1.69317728</v>
      </c>
      <c r="C207" s="43">
        <f>(B207-AVERAGE($B$115:$B$214))/_xlfn.STDEV.S(Statistics!$B$115:$B$214)</f>
        <v>-1.2315337565247066</v>
      </c>
    </row>
    <row r="208" spans="2:3" x14ac:dyDescent="0.25">
      <c r="B208" s="42">
        <v>1.6257481709999999</v>
      </c>
      <c r="C208" s="43">
        <f>(B208-AVERAGE($B$115:$B$214))/_xlfn.STDEV.S(Statistics!$B$115:$B$214)</f>
        <v>-1.2891024860157578</v>
      </c>
    </row>
    <row r="209" spans="2:3" x14ac:dyDescent="0.25">
      <c r="B209" s="42">
        <v>2.000971593</v>
      </c>
      <c r="C209" s="43">
        <f>(B209-AVERAGE($B$115:$B$214))/_xlfn.STDEV.S(Statistics!$B$115:$B$214)</f>
        <v>-0.96874921425853333</v>
      </c>
    </row>
    <row r="210" spans="2:3" x14ac:dyDescent="0.25">
      <c r="B210" s="42">
        <v>3.1969066590000002</v>
      </c>
      <c r="C210" s="43">
        <f>(B210-AVERAGE($B$115:$B$214))/_xlfn.STDEV.S(Statistics!$B$115:$B$214)</f>
        <v>5.2300349119447712E-2</v>
      </c>
    </row>
    <row r="211" spans="2:3" x14ac:dyDescent="0.25">
      <c r="B211" s="42">
        <v>3.8583836909999998</v>
      </c>
      <c r="C211" s="43">
        <f>(B211-AVERAGE($B$115:$B$214))/_xlfn.STDEV.S(Statistics!$B$115:$B$214)</f>
        <v>0.61704742771055443</v>
      </c>
    </row>
    <row r="212" spans="2:3" x14ac:dyDescent="0.25">
      <c r="B212" s="42">
        <v>3.640789507</v>
      </c>
      <c r="C212" s="43">
        <f>(B212-AVERAGE($B$115:$B$214))/_xlfn.STDEV.S(Statistics!$B$115:$B$214)</f>
        <v>0.43127275408225579</v>
      </c>
    </row>
    <row r="213" spans="2:3" x14ac:dyDescent="0.25">
      <c r="B213" s="42">
        <v>2.1197355880000002</v>
      </c>
      <c r="C213" s="43">
        <f>(B213-AVERAGE($B$115:$B$214))/_xlfn.STDEV.S(Statistics!$B$115:$B$214)</f>
        <v>-0.86735246732196114</v>
      </c>
    </row>
    <row r="214" spans="2:3" ht="15.75" thickBot="1" x14ac:dyDescent="0.3">
      <c r="B214" s="44">
        <v>4.819461123</v>
      </c>
      <c r="C214" s="34">
        <f>(B214-AVERAGE($B$115:$B$214))/_xlfn.STDEV.S(Statistics!$B$115:$B$214)</f>
        <v>1.4375833583093411</v>
      </c>
    </row>
  </sheetData>
  <autoFilter ref="B114:C214" xr:uid="{3A34194C-FF94-451C-96E5-5FF7C1274711}"/>
  <mergeCells count="17">
    <mergeCell ref="B88:F88"/>
    <mergeCell ref="B96:F96"/>
    <mergeCell ref="B102:F102"/>
    <mergeCell ref="B107:F107"/>
    <mergeCell ref="B112:F112"/>
    <mergeCell ref="C55:E55"/>
    <mergeCell ref="B58:F58"/>
    <mergeCell ref="B63:F63"/>
    <mergeCell ref="B66:F66"/>
    <mergeCell ref="B74:F74"/>
    <mergeCell ref="B79:E79"/>
    <mergeCell ref="B2:H2"/>
    <mergeCell ref="B8:F8"/>
    <mergeCell ref="B14:F14"/>
    <mergeCell ref="B20:F20"/>
    <mergeCell ref="B25:F25"/>
    <mergeCell ref="B38:F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43D9-E833-473C-8160-B5C1286F70DB}">
  <dimension ref="A1:H103"/>
  <sheetViews>
    <sheetView tabSelected="1" workbookViewId="0">
      <selection activeCell="E1" sqref="E1"/>
    </sheetView>
  </sheetViews>
  <sheetFormatPr defaultRowHeight="15" x14ac:dyDescent="0.25"/>
  <cols>
    <col min="1" max="1" width="14.42578125" bestFit="1" customWidth="1"/>
    <col min="2" max="2" width="22.85546875" bestFit="1" customWidth="1"/>
    <col min="3" max="3" width="12.85546875" bestFit="1" customWidth="1"/>
    <col min="4" max="4" width="16.42578125" bestFit="1" customWidth="1"/>
    <col min="5" max="5" width="23.7109375" bestFit="1" customWidth="1"/>
    <col min="6" max="6" width="12" bestFit="1" customWidth="1"/>
    <col min="7" max="7" width="19" bestFit="1" customWidth="1"/>
    <col min="8" max="8" width="22.28515625" bestFit="1" customWidth="1"/>
    <col min="9" max="9" width="13.140625" bestFit="1" customWidth="1"/>
    <col min="10" max="10" width="11.28515625" bestFit="1" customWidth="1"/>
    <col min="11" max="12" width="23.7109375" bestFit="1" customWidth="1"/>
  </cols>
  <sheetData>
    <row r="1" spans="1:8" x14ac:dyDescent="0.25">
      <c r="A1" s="5" t="s">
        <v>66</v>
      </c>
      <c r="D1" s="5" t="s">
        <v>20</v>
      </c>
      <c r="G1" s="5" t="s">
        <v>17</v>
      </c>
    </row>
    <row r="3" spans="1:8" x14ac:dyDescent="0.25">
      <c r="A3" s="49" t="s">
        <v>0</v>
      </c>
      <c r="B3" t="s">
        <v>64</v>
      </c>
      <c r="D3" s="49" t="s">
        <v>87</v>
      </c>
      <c r="E3" t="s">
        <v>68</v>
      </c>
      <c r="G3" s="49" t="s">
        <v>88</v>
      </c>
      <c r="H3" t="s">
        <v>67</v>
      </c>
    </row>
    <row r="4" spans="1:8" x14ac:dyDescent="0.25">
      <c r="A4" s="50">
        <v>18</v>
      </c>
      <c r="B4" s="48">
        <v>105275.5</v>
      </c>
      <c r="D4" s="50">
        <v>1</v>
      </c>
      <c r="E4" s="48">
        <v>6</v>
      </c>
      <c r="G4" s="50">
        <v>1.0618264660000001</v>
      </c>
      <c r="H4" s="48">
        <v>26</v>
      </c>
    </row>
    <row r="5" spans="1:8" x14ac:dyDescent="0.25">
      <c r="A5" s="50">
        <v>19</v>
      </c>
      <c r="B5" s="48">
        <v>118393.25</v>
      </c>
      <c r="D5" s="50">
        <v>2</v>
      </c>
      <c r="E5" s="48">
        <v>4</v>
      </c>
      <c r="G5" s="50">
        <v>1.097263866</v>
      </c>
      <c r="H5" s="48">
        <v>6</v>
      </c>
    </row>
    <row r="6" spans="1:8" x14ac:dyDescent="0.25">
      <c r="A6" s="50">
        <v>20</v>
      </c>
      <c r="B6" s="48">
        <v>51977</v>
      </c>
      <c r="D6" s="50">
        <v>3</v>
      </c>
      <c r="E6" s="48">
        <v>7</v>
      </c>
      <c r="G6" s="50">
        <v>1.101402974</v>
      </c>
      <c r="H6" s="48">
        <v>14</v>
      </c>
    </row>
    <row r="7" spans="1:8" x14ac:dyDescent="0.25">
      <c r="A7" s="50">
        <v>21</v>
      </c>
      <c r="B7" s="48">
        <v>154100.66666666666</v>
      </c>
      <c r="D7" s="50">
        <v>4</v>
      </c>
      <c r="E7" s="48">
        <v>8</v>
      </c>
      <c r="G7" s="50">
        <v>1.122001</v>
      </c>
      <c r="H7" s="48">
        <v>8</v>
      </c>
    </row>
    <row r="8" spans="1:8" x14ac:dyDescent="0.25">
      <c r="A8" s="50">
        <v>23</v>
      </c>
      <c r="B8" s="48">
        <v>150117</v>
      </c>
      <c r="D8" s="50">
        <v>5</v>
      </c>
      <c r="E8" s="48">
        <v>10</v>
      </c>
      <c r="G8" s="50">
        <v>1.1437690949999999</v>
      </c>
      <c r="H8" s="48">
        <v>24</v>
      </c>
    </row>
    <row r="9" spans="1:8" x14ac:dyDescent="0.25">
      <c r="A9" s="50">
        <v>24</v>
      </c>
      <c r="B9" s="48">
        <v>120777.33333333333</v>
      </c>
      <c r="D9" s="50">
        <v>7</v>
      </c>
      <c r="E9" s="48">
        <v>5</v>
      </c>
      <c r="G9" s="50">
        <v>1.149392755</v>
      </c>
      <c r="H9" s="48">
        <v>36</v>
      </c>
    </row>
    <row r="10" spans="1:8" x14ac:dyDescent="0.25">
      <c r="A10" s="50">
        <v>25</v>
      </c>
      <c r="B10" s="48">
        <v>103968</v>
      </c>
      <c r="D10" s="50">
        <v>8</v>
      </c>
      <c r="E10" s="48">
        <v>2</v>
      </c>
      <c r="G10" s="50">
        <v>1.2067268849999999</v>
      </c>
      <c r="H10" s="48">
        <v>29</v>
      </c>
    </row>
    <row r="11" spans="1:8" x14ac:dyDescent="0.25">
      <c r="A11" s="50">
        <v>26</v>
      </c>
      <c r="B11" s="48">
        <v>109990.66666666667</v>
      </c>
      <c r="D11" s="50">
        <v>9</v>
      </c>
      <c r="E11" s="48">
        <v>5</v>
      </c>
      <c r="G11" s="50">
        <v>1.3138255249999999</v>
      </c>
      <c r="H11" s="48">
        <v>33</v>
      </c>
    </row>
    <row r="12" spans="1:8" x14ac:dyDescent="0.25">
      <c r="A12" s="50">
        <v>27</v>
      </c>
      <c r="B12" s="48">
        <v>46959</v>
      </c>
      <c r="D12" s="50">
        <v>10</v>
      </c>
      <c r="E12" s="48">
        <v>5</v>
      </c>
      <c r="G12" s="50">
        <v>1.34138986</v>
      </c>
      <c r="H12" s="48">
        <v>25</v>
      </c>
    </row>
    <row r="13" spans="1:8" x14ac:dyDescent="0.25">
      <c r="A13" s="50">
        <v>28</v>
      </c>
      <c r="B13" s="48">
        <v>105743.5</v>
      </c>
      <c r="D13" s="50">
        <v>11</v>
      </c>
      <c r="E13" s="48">
        <v>3</v>
      </c>
      <c r="G13" s="50">
        <v>1.3759277590000001</v>
      </c>
      <c r="H13" s="48">
        <v>3</v>
      </c>
    </row>
    <row r="14" spans="1:8" x14ac:dyDescent="0.25">
      <c r="A14" s="50">
        <v>29</v>
      </c>
      <c r="B14" s="48">
        <v>133066</v>
      </c>
      <c r="D14" s="50">
        <v>12</v>
      </c>
      <c r="E14" s="48">
        <v>9</v>
      </c>
      <c r="G14" s="50">
        <v>1.3887059749999999</v>
      </c>
      <c r="H14" s="48">
        <v>25</v>
      </c>
    </row>
    <row r="15" spans="1:8" x14ac:dyDescent="0.25">
      <c r="A15" s="50">
        <v>31</v>
      </c>
      <c r="B15" s="48">
        <v>96532</v>
      </c>
      <c r="D15" s="50">
        <v>13</v>
      </c>
      <c r="E15" s="48">
        <v>5</v>
      </c>
      <c r="G15" s="50">
        <v>1.5082420510000001</v>
      </c>
      <c r="H15" s="48">
        <v>20</v>
      </c>
    </row>
    <row r="16" spans="1:8" x14ac:dyDescent="0.25">
      <c r="A16" s="50">
        <v>32</v>
      </c>
      <c r="B16" s="48">
        <v>120308</v>
      </c>
      <c r="D16" s="50">
        <v>14</v>
      </c>
      <c r="E16" s="48">
        <v>3</v>
      </c>
      <c r="G16" s="50">
        <v>1.5603360610000001</v>
      </c>
      <c r="H16" s="48">
        <v>30</v>
      </c>
    </row>
    <row r="17" spans="1:8" x14ac:dyDescent="0.25">
      <c r="A17" s="50">
        <v>33</v>
      </c>
      <c r="B17" s="48">
        <v>145038.5</v>
      </c>
      <c r="D17" s="50">
        <v>15</v>
      </c>
      <c r="E17" s="48">
        <v>1</v>
      </c>
      <c r="G17" s="50">
        <v>1.6257481709999999</v>
      </c>
      <c r="H17" s="48">
        <v>3</v>
      </c>
    </row>
    <row r="18" spans="1:8" x14ac:dyDescent="0.25">
      <c r="A18" s="50">
        <v>34</v>
      </c>
      <c r="B18" s="48">
        <v>51105</v>
      </c>
      <c r="D18" s="50">
        <v>16</v>
      </c>
      <c r="E18" s="48">
        <v>7</v>
      </c>
      <c r="G18" s="50">
        <v>1.6779709869999999</v>
      </c>
      <c r="H18" s="48">
        <v>18</v>
      </c>
    </row>
    <row r="19" spans="1:8" x14ac:dyDescent="0.25">
      <c r="A19" s="50">
        <v>35</v>
      </c>
      <c r="B19" s="48">
        <v>118784.33333333333</v>
      </c>
      <c r="D19" s="50">
        <v>17</v>
      </c>
      <c r="E19" s="48">
        <v>9</v>
      </c>
      <c r="G19" s="50">
        <v>1.69317728</v>
      </c>
      <c r="H19" s="48">
        <v>7</v>
      </c>
    </row>
    <row r="20" spans="1:8" x14ac:dyDescent="0.25">
      <c r="A20" s="50">
        <v>36</v>
      </c>
      <c r="B20" s="48">
        <v>37666</v>
      </c>
      <c r="D20" s="50">
        <v>18</v>
      </c>
      <c r="E20" s="48">
        <v>4</v>
      </c>
      <c r="G20" s="50">
        <v>1.7084427179999999</v>
      </c>
      <c r="H20" s="48">
        <v>29</v>
      </c>
    </row>
    <row r="21" spans="1:8" x14ac:dyDescent="0.25">
      <c r="A21" s="50">
        <v>37</v>
      </c>
      <c r="B21" s="48">
        <v>68585</v>
      </c>
      <c r="D21" s="50">
        <v>19</v>
      </c>
      <c r="E21" s="48">
        <v>7</v>
      </c>
      <c r="G21" s="50">
        <v>1.7809719509999999</v>
      </c>
      <c r="H21" s="48">
        <v>16</v>
      </c>
    </row>
    <row r="22" spans="1:8" x14ac:dyDescent="0.25">
      <c r="A22" s="50">
        <v>38</v>
      </c>
      <c r="B22" s="48">
        <v>87180.5</v>
      </c>
      <c r="D22" s="50" t="s">
        <v>65</v>
      </c>
      <c r="E22" s="48">
        <v>100</v>
      </c>
      <c r="G22" s="50">
        <v>1.8632841099999999</v>
      </c>
      <c r="H22" s="48">
        <v>25</v>
      </c>
    </row>
    <row r="23" spans="1:8" x14ac:dyDescent="0.25">
      <c r="A23" s="50">
        <v>39</v>
      </c>
      <c r="B23" s="48">
        <v>138410.5</v>
      </c>
      <c r="G23" s="50">
        <v>1.9759585740000001</v>
      </c>
      <c r="H23" s="48">
        <v>17</v>
      </c>
    </row>
    <row r="24" spans="1:8" x14ac:dyDescent="0.25">
      <c r="A24" s="50">
        <v>40</v>
      </c>
      <c r="B24" s="48">
        <v>91108.5</v>
      </c>
      <c r="G24" s="50">
        <v>2.000971593</v>
      </c>
      <c r="H24" s="48">
        <v>17</v>
      </c>
    </row>
    <row r="25" spans="1:8" x14ac:dyDescent="0.25">
      <c r="A25" s="50">
        <v>41</v>
      </c>
      <c r="B25" s="48">
        <v>95601.4</v>
      </c>
      <c r="G25" s="50">
        <v>2.083329005</v>
      </c>
      <c r="H25" s="48">
        <v>33</v>
      </c>
    </row>
    <row r="26" spans="1:8" x14ac:dyDescent="0.25">
      <c r="A26" s="50">
        <v>42</v>
      </c>
      <c r="B26" s="48">
        <v>83998.25</v>
      </c>
      <c r="G26" s="50">
        <v>2.1197355880000002</v>
      </c>
      <c r="H26" s="48">
        <v>22</v>
      </c>
    </row>
    <row r="27" spans="1:8" x14ac:dyDescent="0.25">
      <c r="A27" s="50">
        <v>43</v>
      </c>
      <c r="B27" s="48">
        <v>158509.66666666666</v>
      </c>
      <c r="G27" s="50">
        <v>2.1230894500000002</v>
      </c>
      <c r="H27" s="48">
        <v>9</v>
      </c>
    </row>
    <row r="28" spans="1:8" x14ac:dyDescent="0.25">
      <c r="A28" s="50">
        <v>44</v>
      </c>
      <c r="B28" s="48">
        <v>162982</v>
      </c>
      <c r="G28" s="50">
        <v>2.1461650090000002</v>
      </c>
      <c r="H28" s="48">
        <v>11</v>
      </c>
    </row>
    <row r="29" spans="1:8" x14ac:dyDescent="0.25">
      <c r="A29" s="50">
        <v>45</v>
      </c>
      <c r="B29" s="48">
        <v>125103.5</v>
      </c>
      <c r="G29" s="50">
        <v>2.1743673769999998</v>
      </c>
      <c r="H29" s="48">
        <v>49</v>
      </c>
    </row>
    <row r="30" spans="1:8" x14ac:dyDescent="0.25">
      <c r="A30" s="50">
        <v>46</v>
      </c>
      <c r="B30" s="48">
        <v>150027.33333333334</v>
      </c>
      <c r="G30" s="50">
        <v>2.1777955680000001</v>
      </c>
      <c r="H30" s="48">
        <v>41</v>
      </c>
    </row>
    <row r="31" spans="1:8" x14ac:dyDescent="0.25">
      <c r="A31" s="50">
        <v>47</v>
      </c>
      <c r="B31" s="48">
        <v>60222</v>
      </c>
      <c r="G31" s="50">
        <v>2.2676880210000001</v>
      </c>
      <c r="H31" s="48">
        <v>39</v>
      </c>
    </row>
    <row r="32" spans="1:8" x14ac:dyDescent="0.25">
      <c r="A32" s="50">
        <v>48</v>
      </c>
      <c r="B32" s="48">
        <v>28748</v>
      </c>
      <c r="G32" s="50">
        <v>2.2918258919999999</v>
      </c>
      <c r="H32" s="48">
        <v>41</v>
      </c>
    </row>
    <row r="33" spans="1:8" x14ac:dyDescent="0.25">
      <c r="A33" s="50">
        <v>50</v>
      </c>
      <c r="B33" s="48">
        <v>49538</v>
      </c>
      <c r="G33" s="50">
        <v>2.3519806270000001</v>
      </c>
      <c r="H33" s="48">
        <v>48</v>
      </c>
    </row>
    <row r="34" spans="1:8" x14ac:dyDescent="0.25">
      <c r="A34" s="50">
        <v>51</v>
      </c>
      <c r="B34" s="48">
        <v>165546</v>
      </c>
      <c r="G34" s="50">
        <v>2.4379646049999999</v>
      </c>
      <c r="H34" s="48">
        <v>48</v>
      </c>
    </row>
    <row r="35" spans="1:8" x14ac:dyDescent="0.25">
      <c r="A35" s="50">
        <v>52</v>
      </c>
      <c r="B35" s="48">
        <v>177906</v>
      </c>
      <c r="G35" s="50">
        <v>2.4407625660000001</v>
      </c>
      <c r="H35" s="48">
        <v>40</v>
      </c>
    </row>
    <row r="36" spans="1:8" x14ac:dyDescent="0.25">
      <c r="A36" s="50">
        <v>53</v>
      </c>
      <c r="B36" s="48">
        <v>130618.66666666667</v>
      </c>
      <c r="G36" s="50">
        <v>2.4806348009999999</v>
      </c>
      <c r="H36" s="48">
        <v>19</v>
      </c>
    </row>
    <row r="37" spans="1:8" x14ac:dyDescent="0.25">
      <c r="A37" s="50">
        <v>54</v>
      </c>
      <c r="B37" s="48">
        <v>75015</v>
      </c>
      <c r="G37" s="50">
        <v>2.5023318109999999</v>
      </c>
      <c r="H37" s="48">
        <v>16</v>
      </c>
    </row>
    <row r="38" spans="1:8" x14ac:dyDescent="0.25">
      <c r="A38" s="50">
        <v>55</v>
      </c>
      <c r="B38" s="48">
        <v>102373</v>
      </c>
      <c r="G38" s="50">
        <v>2.5403909140000001</v>
      </c>
      <c r="H38" s="48">
        <v>33</v>
      </c>
    </row>
    <row r="39" spans="1:8" x14ac:dyDescent="0.25">
      <c r="A39" s="50">
        <v>56</v>
      </c>
      <c r="B39" s="48">
        <v>142006</v>
      </c>
      <c r="G39" s="50">
        <v>2.5723908990000002</v>
      </c>
      <c r="H39" s="48">
        <v>29</v>
      </c>
    </row>
    <row r="40" spans="1:8" x14ac:dyDescent="0.25">
      <c r="A40" s="50">
        <v>57</v>
      </c>
      <c r="B40" s="48">
        <v>101842.66666666667</v>
      </c>
      <c r="G40" s="50">
        <v>2.6358117779999999</v>
      </c>
      <c r="H40" s="48">
        <v>8</v>
      </c>
    </row>
    <row r="41" spans="1:8" x14ac:dyDescent="0.25">
      <c r="A41" s="50">
        <v>58</v>
      </c>
      <c r="B41" s="48">
        <v>51736</v>
      </c>
      <c r="G41" s="50">
        <v>2.7127365929999998</v>
      </c>
      <c r="H41" s="48">
        <v>19</v>
      </c>
    </row>
    <row r="42" spans="1:8" x14ac:dyDescent="0.25">
      <c r="A42" s="50">
        <v>59</v>
      </c>
      <c r="B42" s="48">
        <v>92382.5</v>
      </c>
      <c r="G42" s="50">
        <v>2.7558856829999998</v>
      </c>
      <c r="H42" s="48">
        <v>4</v>
      </c>
    </row>
    <row r="43" spans="1:8" x14ac:dyDescent="0.25">
      <c r="A43" s="50">
        <v>60</v>
      </c>
      <c r="B43" s="48">
        <v>64504</v>
      </c>
      <c r="G43" s="50">
        <v>2.8623920730000001</v>
      </c>
      <c r="H43" s="48">
        <v>33</v>
      </c>
    </row>
    <row r="44" spans="1:8" x14ac:dyDescent="0.25">
      <c r="A44" s="50">
        <v>61</v>
      </c>
      <c r="B44" s="48">
        <v>115880.66666666667</v>
      </c>
      <c r="G44" s="50">
        <v>2.9700707749999999</v>
      </c>
      <c r="H44" s="48">
        <v>48</v>
      </c>
    </row>
    <row r="45" spans="1:8" x14ac:dyDescent="0.25">
      <c r="A45" s="50">
        <v>62</v>
      </c>
      <c r="B45" s="48">
        <v>117065</v>
      </c>
      <c r="G45" s="50">
        <v>3.0060651790000001</v>
      </c>
      <c r="H45" s="48">
        <v>37</v>
      </c>
    </row>
    <row r="46" spans="1:8" x14ac:dyDescent="0.25">
      <c r="A46" s="50">
        <v>64</v>
      </c>
      <c r="B46" s="48">
        <v>93498.5</v>
      </c>
      <c r="G46" s="50">
        <v>3.0105483720000001</v>
      </c>
      <c r="H46" s="48">
        <v>22</v>
      </c>
    </row>
    <row r="47" spans="1:8" x14ac:dyDescent="0.25">
      <c r="A47" s="50" t="s">
        <v>65</v>
      </c>
      <c r="B47" s="48">
        <v>109321.51</v>
      </c>
      <c r="G47" s="50">
        <v>3.0453695949999999</v>
      </c>
      <c r="H47" s="48">
        <v>5</v>
      </c>
    </row>
    <row r="48" spans="1:8" x14ac:dyDescent="0.25">
      <c r="G48" s="50">
        <v>3.0652013930000002</v>
      </c>
      <c r="H48" s="48">
        <v>16</v>
      </c>
    </row>
    <row r="49" spans="1:8" x14ac:dyDescent="0.25">
      <c r="A49" s="5" t="s">
        <v>22</v>
      </c>
      <c r="G49" s="50">
        <v>3.0733186090000002</v>
      </c>
      <c r="H49" s="48">
        <v>42</v>
      </c>
    </row>
    <row r="50" spans="1:8" x14ac:dyDescent="0.25">
      <c r="G50" s="50">
        <v>3.0889730399999999</v>
      </c>
      <c r="H50" s="48">
        <v>35</v>
      </c>
    </row>
    <row r="51" spans="1:8" x14ac:dyDescent="0.25">
      <c r="A51" s="49" t="s">
        <v>86</v>
      </c>
      <c r="B51" s="49" t="s">
        <v>75</v>
      </c>
      <c r="C51" t="s">
        <v>76</v>
      </c>
      <c r="D51" t="s">
        <v>64</v>
      </c>
      <c r="G51" s="50">
        <v>3.1254185259999998</v>
      </c>
      <c r="H51" s="48">
        <v>18</v>
      </c>
    </row>
    <row r="52" spans="1:8" x14ac:dyDescent="0.25">
      <c r="A52" s="50" t="s">
        <v>69</v>
      </c>
      <c r="B52" s="48">
        <v>38986</v>
      </c>
      <c r="C52" s="48">
        <v>178371</v>
      </c>
      <c r="D52" s="48">
        <v>114509.76190476191</v>
      </c>
      <c r="G52" s="50">
        <v>3.1625404860000002</v>
      </c>
      <c r="H52" s="48">
        <v>46</v>
      </c>
    </row>
    <row r="53" spans="1:8" x14ac:dyDescent="0.25">
      <c r="A53" s="50" t="s">
        <v>70</v>
      </c>
      <c r="B53" s="48">
        <v>38545</v>
      </c>
      <c r="C53" s="48">
        <v>174213</v>
      </c>
      <c r="D53" s="48">
        <v>108689.27777777778</v>
      </c>
      <c r="G53" s="50">
        <v>3.1705785390000001</v>
      </c>
      <c r="H53" s="48">
        <v>24</v>
      </c>
    </row>
    <row r="54" spans="1:8" x14ac:dyDescent="0.25">
      <c r="A54" s="50" t="s">
        <v>71</v>
      </c>
      <c r="B54" s="48">
        <v>32392</v>
      </c>
      <c r="C54" s="48">
        <v>179736</v>
      </c>
      <c r="D54" s="48">
        <v>102892.26086956522</v>
      </c>
      <c r="G54" s="50">
        <v>3.1969066590000002</v>
      </c>
      <c r="H54" s="48">
        <v>33</v>
      </c>
    </row>
    <row r="55" spans="1:8" x14ac:dyDescent="0.25">
      <c r="A55" s="50" t="s">
        <v>72</v>
      </c>
      <c r="B55" s="48">
        <v>28748</v>
      </c>
      <c r="C55" s="48">
        <v>177906</v>
      </c>
      <c r="D55" s="48">
        <v>121085</v>
      </c>
      <c r="G55" s="50">
        <v>3.2272050499999998</v>
      </c>
      <c r="H55" s="48">
        <v>40</v>
      </c>
    </row>
    <row r="56" spans="1:8" x14ac:dyDescent="0.25">
      <c r="A56" s="50" t="s">
        <v>73</v>
      </c>
      <c r="B56" s="48">
        <v>27693</v>
      </c>
      <c r="C56" s="48">
        <v>171779</v>
      </c>
      <c r="D56" s="48">
        <v>107448.47619047618</v>
      </c>
      <c r="G56" s="50">
        <v>3.28024468</v>
      </c>
      <c r="H56" s="48">
        <v>28</v>
      </c>
    </row>
    <row r="57" spans="1:8" x14ac:dyDescent="0.25">
      <c r="A57" s="50" t="s">
        <v>74</v>
      </c>
      <c r="B57" s="48">
        <v>50939</v>
      </c>
      <c r="C57" s="48">
        <v>156278</v>
      </c>
      <c r="D57" s="48">
        <v>93498.5</v>
      </c>
      <c r="G57" s="50">
        <v>3.3076155389999999</v>
      </c>
      <c r="H57" s="48">
        <v>11</v>
      </c>
    </row>
    <row r="58" spans="1:8" x14ac:dyDescent="0.25">
      <c r="A58" s="50" t="s">
        <v>65</v>
      </c>
      <c r="B58" s="48">
        <v>27693</v>
      </c>
      <c r="C58" s="48">
        <v>179736</v>
      </c>
      <c r="D58" s="48">
        <v>109321.51</v>
      </c>
      <c r="G58" s="50">
        <v>3.3131205640000001</v>
      </c>
      <c r="H58" s="48">
        <v>20</v>
      </c>
    </row>
    <row r="59" spans="1:8" x14ac:dyDescent="0.25">
      <c r="G59" s="50">
        <v>3.3633330419999998</v>
      </c>
      <c r="H59" s="48">
        <v>49</v>
      </c>
    </row>
    <row r="60" spans="1:8" x14ac:dyDescent="0.25">
      <c r="A60" s="51" t="s">
        <v>25</v>
      </c>
      <c r="G60" s="50">
        <v>3.4600289069999999</v>
      </c>
      <c r="H60" s="48">
        <v>23</v>
      </c>
    </row>
    <row r="61" spans="1:8" x14ac:dyDescent="0.25">
      <c r="G61" s="50">
        <v>3.491561903</v>
      </c>
      <c r="H61" s="48">
        <v>35</v>
      </c>
    </row>
    <row r="62" spans="1:8" x14ac:dyDescent="0.25">
      <c r="A62" s="49" t="s">
        <v>84</v>
      </c>
      <c r="B62" t="s">
        <v>85</v>
      </c>
      <c r="G62" s="50">
        <v>3.5245545040000001</v>
      </c>
      <c r="H62" s="48">
        <v>34</v>
      </c>
    </row>
    <row r="63" spans="1:8" x14ac:dyDescent="0.25">
      <c r="A63" s="50" t="s">
        <v>77</v>
      </c>
      <c r="B63" s="48">
        <v>18</v>
      </c>
      <c r="G63" s="50">
        <v>3.549719606</v>
      </c>
      <c r="H63" s="48">
        <v>18</v>
      </c>
    </row>
    <row r="64" spans="1:8" x14ac:dyDescent="0.25">
      <c r="A64" s="50" t="s">
        <v>78</v>
      </c>
      <c r="B64" s="48">
        <v>11</v>
      </c>
      <c r="G64" s="50">
        <v>3.581889184</v>
      </c>
      <c r="H64" s="48">
        <v>16</v>
      </c>
    </row>
    <row r="65" spans="1:8" x14ac:dyDescent="0.25">
      <c r="A65" s="50" t="s">
        <v>79</v>
      </c>
      <c r="B65" s="48">
        <v>16</v>
      </c>
      <c r="G65" s="50">
        <v>3.5998557230000001</v>
      </c>
      <c r="H65" s="48">
        <v>9</v>
      </c>
    </row>
    <row r="66" spans="1:8" x14ac:dyDescent="0.25">
      <c r="A66" s="50" t="s">
        <v>80</v>
      </c>
      <c r="B66" s="48">
        <v>11</v>
      </c>
      <c r="G66" s="50">
        <v>3.640789507</v>
      </c>
      <c r="H66" s="48">
        <v>12</v>
      </c>
    </row>
    <row r="67" spans="1:8" x14ac:dyDescent="0.25">
      <c r="A67" s="50" t="s">
        <v>81</v>
      </c>
      <c r="B67" s="48">
        <v>25</v>
      </c>
      <c r="G67" s="50">
        <v>3.7838968240000002</v>
      </c>
      <c r="H67" s="48">
        <v>20</v>
      </c>
    </row>
    <row r="68" spans="1:8" x14ac:dyDescent="0.25">
      <c r="A68" s="50" t="s">
        <v>82</v>
      </c>
      <c r="B68" s="48">
        <v>15</v>
      </c>
      <c r="G68" s="50">
        <v>3.7841191869999999</v>
      </c>
      <c r="H68" s="48">
        <v>11</v>
      </c>
    </row>
    <row r="69" spans="1:8" x14ac:dyDescent="0.25">
      <c r="A69" s="50" t="s">
        <v>83</v>
      </c>
      <c r="B69" s="48">
        <v>4</v>
      </c>
      <c r="G69" s="50">
        <v>3.7880629639999999</v>
      </c>
      <c r="H69" s="48">
        <v>16</v>
      </c>
    </row>
    <row r="70" spans="1:8" x14ac:dyDescent="0.25">
      <c r="A70" s="50" t="s">
        <v>65</v>
      </c>
      <c r="B70" s="48">
        <v>100</v>
      </c>
      <c r="G70" s="50">
        <v>3.8078675089999998</v>
      </c>
      <c r="H70" s="48">
        <v>41</v>
      </c>
    </row>
    <row r="71" spans="1:8" x14ac:dyDescent="0.25">
      <c r="G71" s="50">
        <v>3.8099363359999998</v>
      </c>
      <c r="H71" s="48">
        <v>26</v>
      </c>
    </row>
    <row r="72" spans="1:8" x14ac:dyDescent="0.25">
      <c r="G72" s="50">
        <v>3.8583836909999998</v>
      </c>
      <c r="H72" s="48">
        <v>48</v>
      </c>
    </row>
    <row r="73" spans="1:8" x14ac:dyDescent="0.25">
      <c r="G73" s="50">
        <v>3.8898084609999999</v>
      </c>
      <c r="H73" s="48">
        <v>33</v>
      </c>
    </row>
    <row r="74" spans="1:8" x14ac:dyDescent="0.25">
      <c r="G74" s="50">
        <v>3.904365335</v>
      </c>
      <c r="H74" s="48">
        <v>2</v>
      </c>
    </row>
    <row r="75" spans="1:8" x14ac:dyDescent="0.25">
      <c r="G75" s="50">
        <v>3.9630744710000001</v>
      </c>
      <c r="H75" s="48">
        <v>7</v>
      </c>
    </row>
    <row r="76" spans="1:8" x14ac:dyDescent="0.25">
      <c r="G76" s="50">
        <v>4.0799742119999998</v>
      </c>
      <c r="H76" s="48">
        <v>48</v>
      </c>
    </row>
    <row r="77" spans="1:8" x14ac:dyDescent="0.25">
      <c r="G77" s="50">
        <v>4.1792452139999998</v>
      </c>
      <c r="H77" s="48">
        <v>6</v>
      </c>
    </row>
    <row r="78" spans="1:8" x14ac:dyDescent="0.25">
      <c r="G78" s="50">
        <v>4.1807447790000003</v>
      </c>
      <c r="H78" s="48">
        <v>36</v>
      </c>
    </row>
    <row r="79" spans="1:8" x14ac:dyDescent="0.25">
      <c r="G79" s="50">
        <v>4.1831706779999998</v>
      </c>
      <c r="H79" s="48">
        <v>35</v>
      </c>
    </row>
    <row r="80" spans="1:8" x14ac:dyDescent="0.25">
      <c r="G80" s="50">
        <v>4.1931807159999996</v>
      </c>
      <c r="H80" s="48">
        <v>32</v>
      </c>
    </row>
    <row r="81" spans="7:8" x14ac:dyDescent="0.25">
      <c r="G81" s="50">
        <v>4.2374446219999999</v>
      </c>
      <c r="H81" s="48">
        <v>2</v>
      </c>
    </row>
    <row r="82" spans="7:8" x14ac:dyDescent="0.25">
      <c r="G82" s="50">
        <v>4.2404535790000004</v>
      </c>
      <c r="H82" s="48">
        <v>1</v>
      </c>
    </row>
    <row r="83" spans="7:8" x14ac:dyDescent="0.25">
      <c r="G83" s="50">
        <v>4.2904022429999999</v>
      </c>
      <c r="H83" s="48">
        <v>38</v>
      </c>
    </row>
    <row r="84" spans="7:8" x14ac:dyDescent="0.25">
      <c r="G84" s="50">
        <v>4.3439204819999997</v>
      </c>
      <c r="H84" s="48">
        <v>48</v>
      </c>
    </row>
    <row r="85" spans="7:8" x14ac:dyDescent="0.25">
      <c r="G85" s="50">
        <v>4.4045466859999998</v>
      </c>
      <c r="H85" s="48">
        <v>40</v>
      </c>
    </row>
    <row r="86" spans="7:8" x14ac:dyDescent="0.25">
      <c r="G86" s="50">
        <v>4.4120378220000003</v>
      </c>
      <c r="H86" s="48">
        <v>7</v>
      </c>
    </row>
    <row r="87" spans="7:8" x14ac:dyDescent="0.25">
      <c r="G87" s="50">
        <v>4.468289274</v>
      </c>
      <c r="H87" s="48">
        <v>48</v>
      </c>
    </row>
    <row r="88" spans="7:8" x14ac:dyDescent="0.25">
      <c r="G88" s="50">
        <v>4.5094922879999997</v>
      </c>
      <c r="H88" s="48">
        <v>35</v>
      </c>
    </row>
    <row r="89" spans="7:8" x14ac:dyDescent="0.25">
      <c r="G89" s="50">
        <v>4.560021367</v>
      </c>
      <c r="H89" s="48">
        <v>19</v>
      </c>
    </row>
    <row r="90" spans="7:8" x14ac:dyDescent="0.25">
      <c r="G90" s="50">
        <v>4.6529622100000001</v>
      </c>
      <c r="H90" s="48">
        <v>12</v>
      </c>
    </row>
    <row r="91" spans="7:8" x14ac:dyDescent="0.25">
      <c r="G91" s="50">
        <v>4.659457561</v>
      </c>
      <c r="H91" s="48">
        <v>36</v>
      </c>
    </row>
    <row r="92" spans="7:8" x14ac:dyDescent="0.25">
      <c r="G92" s="50">
        <v>4.7132742500000004</v>
      </c>
      <c r="H92" s="48">
        <v>3</v>
      </c>
    </row>
    <row r="93" spans="7:8" x14ac:dyDescent="0.25">
      <c r="G93" s="50">
        <v>4.7446190970000002</v>
      </c>
      <c r="H93" s="48">
        <v>1</v>
      </c>
    </row>
    <row r="94" spans="7:8" x14ac:dyDescent="0.25">
      <c r="G94" s="50">
        <v>4.7618343369999998</v>
      </c>
      <c r="H94" s="48">
        <v>3</v>
      </c>
    </row>
    <row r="95" spans="7:8" x14ac:dyDescent="0.25">
      <c r="G95" s="50">
        <v>4.8157143080000004</v>
      </c>
      <c r="H95" s="48">
        <v>20</v>
      </c>
    </row>
    <row r="96" spans="7:8" x14ac:dyDescent="0.25">
      <c r="G96" s="50">
        <v>4.819461123</v>
      </c>
      <c r="H96" s="48">
        <v>22</v>
      </c>
    </row>
    <row r="97" spans="7:8" x14ac:dyDescent="0.25">
      <c r="G97" s="50">
        <v>4.8505936590000003</v>
      </c>
      <c r="H97" s="48">
        <v>21</v>
      </c>
    </row>
    <row r="98" spans="7:8" x14ac:dyDescent="0.25">
      <c r="G98" s="50">
        <v>4.8544799080000001</v>
      </c>
      <c r="H98" s="48">
        <v>32</v>
      </c>
    </row>
    <row r="99" spans="7:8" x14ac:dyDescent="0.25">
      <c r="G99" s="50">
        <v>4.8666192759999998</v>
      </c>
      <c r="H99" s="48">
        <v>20</v>
      </c>
    </row>
    <row r="100" spans="7:8" x14ac:dyDescent="0.25">
      <c r="G100" s="50">
        <v>4.8920422190000004</v>
      </c>
      <c r="H100" s="48">
        <v>38</v>
      </c>
    </row>
    <row r="101" spans="7:8" x14ac:dyDescent="0.25">
      <c r="G101" s="50">
        <v>4.9034083180000003</v>
      </c>
      <c r="H101" s="48">
        <v>35</v>
      </c>
    </row>
    <row r="102" spans="7:8" x14ac:dyDescent="0.25">
      <c r="G102" s="50">
        <v>4.9602154000000001</v>
      </c>
      <c r="H102" s="48">
        <v>31</v>
      </c>
    </row>
    <row r="103" spans="7:8" x14ac:dyDescent="0.25">
      <c r="G103" s="50" t="s">
        <v>65</v>
      </c>
      <c r="H103" s="48">
        <v>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Assignment_Data7 to 10</vt:lpstr>
      <vt:lpstr>Statistics</vt:lpstr>
      <vt:lpstr>Excel -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Hacked PC</dc:creator>
  <cp:lastModifiedBy>Sagar Bhoyar</cp:lastModifiedBy>
  <dcterms:created xsi:type="dcterms:W3CDTF">2026-04-15T19:55:11Z</dcterms:created>
  <dcterms:modified xsi:type="dcterms:W3CDTF">2026-04-16T19:41:21Z</dcterms:modified>
</cp:coreProperties>
</file>